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esarmagana/Documents/GitHub/STAR/final_docs/bill_of_materials/"/>
    </mc:Choice>
  </mc:AlternateContent>
  <xr:revisionPtr revIDLastSave="0" documentId="13_ncr:1_{33125700-4BFF-7745-9835-E4B1D51178F7}" xr6:coauthVersionLast="47" xr6:coauthVersionMax="47" xr10:uidLastSave="{00000000-0000-0000-0000-000000000000}"/>
  <bookViews>
    <workbookView xWindow="34400" yWindow="600" windowWidth="34400" windowHeight="26900" tabRatio="500" xr2:uid="{00000000-000D-0000-FFFF-FFFF00000000}"/>
  </bookViews>
  <sheets>
    <sheet name="BOM" sheetId="1" r:id="rId1"/>
    <sheet name="KiCad PCB BOM (reference)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7" i="1" l="1"/>
  <c r="E97" i="1"/>
  <c r="G96" i="1"/>
  <c r="G95" i="1"/>
  <c r="G94" i="1"/>
  <c r="E92" i="1"/>
  <c r="G91" i="1"/>
  <c r="G90" i="1"/>
  <c r="G89" i="1"/>
  <c r="G88" i="1"/>
  <c r="G92" i="1" s="1"/>
  <c r="E86" i="1"/>
  <c r="G85" i="1"/>
  <c r="G84" i="1"/>
  <c r="G83" i="1"/>
  <c r="G82" i="1"/>
  <c r="G81" i="1"/>
  <c r="G80" i="1"/>
  <c r="G79" i="1"/>
  <c r="G78" i="1"/>
  <c r="G77" i="1"/>
  <c r="G76" i="1"/>
  <c r="G86" i="1" s="1"/>
  <c r="G75" i="1"/>
  <c r="G74" i="1"/>
  <c r="G73" i="1"/>
  <c r="G72" i="1"/>
  <c r="G71" i="1"/>
  <c r="G69" i="1"/>
  <c r="E69" i="1"/>
  <c r="G68" i="1"/>
  <c r="G67" i="1"/>
  <c r="G65" i="1"/>
  <c r="E65" i="1"/>
  <c r="G64" i="1"/>
  <c r="G63" i="1"/>
  <c r="G62" i="1"/>
  <c r="G61" i="1"/>
  <c r="G60" i="1"/>
  <c r="G58" i="1"/>
  <c r="E58" i="1"/>
  <c r="G57" i="1"/>
  <c r="G55" i="1"/>
  <c r="E55" i="1"/>
  <c r="G54" i="1"/>
  <c r="G53" i="1"/>
  <c r="G52" i="1"/>
  <c r="E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99" i="1" s="1"/>
  <c r="G101" i="1" s="1"/>
  <c r="G50" i="1" l="1"/>
</calcChain>
</file>

<file path=xl/sharedStrings.xml><?xml version="1.0" encoding="utf-8"?>
<sst xmlns="http://schemas.openxmlformats.org/spreadsheetml/2006/main" count="448" uniqueCount="345">
  <si>
    <t>STAR Bill of Materials</t>
  </si>
  <si>
    <t>Item / Part Number</t>
  </si>
  <si>
    <t>Description</t>
  </si>
  <si>
    <t>Vendor</t>
  </si>
  <si>
    <t>Order Date</t>
  </si>
  <si>
    <t>Qty</t>
  </si>
  <si>
    <t>Unit Cost ($)</t>
  </si>
  <si>
    <t>Extended Cost ($)</t>
  </si>
  <si>
    <t>PCB Components (DigiKey)</t>
  </si>
  <si>
    <t>1189-2325-ND</t>
  </si>
  <si>
    <t>CAP ALUM 47UF 20% 50V RADIAL TH</t>
  </si>
  <si>
    <t>DigiKey</t>
  </si>
  <si>
    <t>1276-CL10B103KB8NNNLCT-ND</t>
  </si>
  <si>
    <t>CAP CER 10000PF 50V X7R 0603</t>
  </si>
  <si>
    <t>1276-CL10B224KB8NNNCCT-ND</t>
  </si>
  <si>
    <t>0.22 µF ±10% 50V Ceramic Capacitor X7R 0603 (1608 Metric)</t>
  </si>
  <si>
    <t>13-AC0603JR-131KLCT-ND</t>
  </si>
  <si>
    <t>RES 1K OHM 5% 1/10W 0603</t>
  </si>
  <si>
    <t>13-RT0603FRE0768RLCT-ND</t>
  </si>
  <si>
    <t>RES SMD 68 OHM 1% 1/10W 0603</t>
  </si>
  <si>
    <t>1528-2832-ND</t>
  </si>
  <si>
    <t>ULT SEN TX/RX 3V/5.5V</t>
  </si>
  <si>
    <t>1866-4667-ND</t>
  </si>
  <si>
    <t>DC DC CONVERTER 5V 30W</t>
  </si>
  <si>
    <t>2057-PH1-04-UA-ND</t>
  </si>
  <si>
    <t>CONN HEADER VERT 4POS 2.54MM</t>
  </si>
  <si>
    <t>2057-PH1-09-UA-ND</t>
  </si>
  <si>
    <t>CONN HEADER VERT 9POS 2.54MM</t>
  </si>
  <si>
    <t>2057-PH1-12-UA-ND</t>
  </si>
  <si>
    <t>CONN HEADER VERT 12POS 2.54MM</t>
  </si>
  <si>
    <t>2073-USB4216-03-ACT-ND</t>
  </si>
  <si>
    <t>USB C RECEPTACLE, SHORT BODY, US</t>
  </si>
  <si>
    <t>296-52187-1-ND</t>
  </si>
  <si>
    <t>UNIDIR PRECISION SURGE DIODE</t>
  </si>
  <si>
    <t>296-TPS2116DRLRCT-ND</t>
  </si>
  <si>
    <t>1.6-V TO 5.5-V, 40-M, 2.5-A, LOW</t>
  </si>
  <si>
    <t>311-1779-1-ND</t>
  </si>
  <si>
    <t>0.1 µF ±5% 50V Ceramic Capacitor X7R 0603 (1608 Metric)</t>
  </si>
  <si>
    <t>311-20.0KHRCT-ND</t>
  </si>
  <si>
    <t>RES 20K OHM 1% 1/10W 0603</t>
  </si>
  <si>
    <t>311-27.0HRCT-ND</t>
  </si>
  <si>
    <t>RES 27 OHM 1% 1/10W 0603</t>
  </si>
  <si>
    <t>311-4.70KHRCT-ND</t>
  </si>
  <si>
    <t>RES 4.7K OHM 1% 1/10W 0603</t>
  </si>
  <si>
    <t>311-47.0KHRCT-ND</t>
  </si>
  <si>
    <t>RES 47K OHM 1% 1/10W 0603</t>
  </si>
  <si>
    <t>399-C0603C270J5GACTUCT-ND</t>
  </si>
  <si>
    <t>27 pF ±5% 50V Ceramic Capacitor C0G, NP0 0603 (1608 Metric)</t>
  </si>
  <si>
    <t>448-CY7C65213A-28PVXI-ND</t>
  </si>
  <si>
    <t>USB Bridge, USB to UART USB 2.0 UART Interface 28-SSOP</t>
  </si>
  <si>
    <t>455-S5B-XH-A-ND</t>
  </si>
  <si>
    <t>CONN HEADER R/A 5POS 2.5MM</t>
  </si>
  <si>
    <t>4809-SKRPACE010CT-ND</t>
  </si>
  <si>
    <t>SWITCH TACTILE SPST-NO 0.05A 16V</t>
  </si>
  <si>
    <t>490-13961-1-ND</t>
  </si>
  <si>
    <t>FERRITE BEAD 22 OHM 0603 1LN</t>
  </si>
  <si>
    <t>490-18663-1-ND</t>
  </si>
  <si>
    <t>CAP CER 10UF 50V X5R 0805</t>
  </si>
  <si>
    <t>490-GRT21BR61H475KE13KCT-ND</t>
  </si>
  <si>
    <t>CAP CER 4.7UF 50V X5R 0805</t>
  </si>
  <si>
    <t>497-17239-1-ND</t>
  </si>
  <si>
    <t>IC REG LINEAR 3.3V 1.2A SOT-223</t>
  </si>
  <si>
    <t>5399-1N4007WTCT-ND</t>
  </si>
  <si>
    <t>Diode 80 V 100mA Surface Mount SOD-523</t>
  </si>
  <si>
    <t>541-15.0KHCT-ND</t>
  </si>
  <si>
    <t>15 kOhms ±1% 0.125W, 1/8W Chip Resistor 0603 (1608 Metric) Automotive AEC-Q200 Thick Film</t>
  </si>
  <si>
    <t>541-5.10KHCT-ND</t>
  </si>
  <si>
    <t>5.1 kOhms ±1% 0.125W, 1/8W Chip Resistor 0603 (1608 Metric) Automotive AEC-Q200 Thick Film</t>
  </si>
  <si>
    <t>559-R5F572NNHDFB#30-ND</t>
  </si>
  <si>
    <t>IC MCU 32BIT 4MB FLASH 144LFQFP</t>
  </si>
  <si>
    <t>587-3247-1-ND</t>
  </si>
  <si>
    <t>1 µF ±10% 50V Ceramic Capacitor X7R 0603 (1608 Metric)</t>
  </si>
  <si>
    <t>732-3040-1-ND</t>
  </si>
  <si>
    <t>30 V 1 A Varistor 1 Circuit Surface Mount 0603 (1608 Metric)</t>
  </si>
  <si>
    <t>732-3832-5-ND</t>
  </si>
  <si>
    <t>SWITCH SLIDE DIP SPST 0.025A 24V</t>
  </si>
  <si>
    <t>732-4978-1-ND</t>
  </si>
  <si>
    <t>Red 625nm LED Indication - Discrete 2V 0603 (1608 Metric)</t>
  </si>
  <si>
    <t>732-5310-ND</t>
  </si>
  <si>
    <t>Connector Header Through Hole 40 position 0.100" (2.54mm)</t>
  </si>
  <si>
    <t>839-54-00130-ND</t>
  </si>
  <si>
    <t>Power Barrel Connector Jack 2.50mm ID (0.098"), 5.50mm OD (0.217") Through Hole, Right Angle</t>
  </si>
  <si>
    <t>DS18B20+-ND</t>
  </si>
  <si>
    <t>Temperature Sensor Digital, Local -55°C ~ 125°C 12 b TO-92-3</t>
  </si>
  <si>
    <t>P30KDBCT-ND</t>
  </si>
  <si>
    <t>RES SMD 30K OHM 0.1% 1/10W 0603</t>
  </si>
  <si>
    <t>SAM12648-ND</t>
  </si>
  <si>
    <t>CONN HEADER SMD 14POS 2.54MM</t>
  </si>
  <si>
    <t>SAM8995-ND</t>
  </si>
  <si>
    <t>CONN HEADER VERT 3POS 2.54MM</t>
  </si>
  <si>
    <t>SSM6J507NULFCT-ND</t>
  </si>
  <si>
    <t>MOSFET P-CH 30V 10A 6UDFNB</t>
  </si>
  <si>
    <t>X1079-ND</t>
  </si>
  <si>
    <t>CRYSTAL 24.0000MHZ 20PF TH</t>
  </si>
  <si>
    <t>YAG2313CT-ND</t>
  </si>
  <si>
    <t>RES SMD 10K OHM 0.1% 1/10W 0603</t>
  </si>
  <si>
    <t>PCB Components (DigiKey) subtotal</t>
  </si>
  <si>
    <t>PCB Assembly Service</t>
  </si>
  <si>
    <t>CS080</t>
  </si>
  <si>
    <t>Custom Assembly</t>
  </si>
  <si>
    <t>ARQ</t>
  </si>
  <si>
    <t>PRT-10359</t>
  </si>
  <si>
    <t>JST SH Jumper 4 Wire Assembly - 8"</t>
  </si>
  <si>
    <t>Sparkfun</t>
  </si>
  <si>
    <t>PRT-10361</t>
  </si>
  <si>
    <t>JST SH Jumper 6 Wire Assembly - 8"</t>
  </si>
  <si>
    <t>PCB Assembly Service subtotal</t>
  </si>
  <si>
    <t>Motor Drivers</t>
  </si>
  <si>
    <t>DRV8263H Single Brushed DC Motor Driver</t>
  </si>
  <si>
    <t>Pololu</t>
  </si>
  <si>
    <t>Motor Drivers subtotal</t>
  </si>
  <si>
    <t>Sensor Cabling and Connectors</t>
  </si>
  <si>
    <t>277-17493-ND</t>
  </si>
  <si>
    <t>2 Position Wire to Board Terminal Block Horizontal with Board 0.200" (5.08mm) Through Hole</t>
  </si>
  <si>
    <t>541-2779-1-ND</t>
  </si>
  <si>
    <t>RES 0 OHM JUMPER 1/2W 0603</t>
  </si>
  <si>
    <t>455-1366-ND</t>
  </si>
  <si>
    <t>CONN RCPT HSG 2POS 1.50MM</t>
  </si>
  <si>
    <t>Digikey</t>
  </si>
  <si>
    <t>455-3079-ND</t>
  </si>
  <si>
    <t>JUMPER SZH-002T-P0.5 X2 6"</t>
  </si>
  <si>
    <t>2411</t>
  </si>
  <si>
    <t>3-Pin Female JST ZH-Style Cable (30cm) for Sharp/S</t>
  </si>
  <si>
    <t>Sensor Cabling and Connectors subtotal</t>
  </si>
  <si>
    <t>Battery and Power Connectors</t>
  </si>
  <si>
    <t>B0CXPK3TJ6</t>
  </si>
  <si>
    <t>5 Pairs 12V DC Power Connector, Male</t>
  </si>
  <si>
    <t>Amazon</t>
  </si>
  <si>
    <t>B0DQ5K852N</t>
  </si>
  <si>
    <t>2 Packs Power Wheel Adapter for Milwaukee</t>
  </si>
  <si>
    <t>Battery and Power Connectors subtotal</t>
  </si>
  <si>
    <t>Drivetrain Mechanical</t>
  </si>
  <si>
    <t>1120-0012-0312</t>
  </si>
  <si>
    <t>312mm U-Channel</t>
  </si>
  <si>
    <t>Servo City</t>
  </si>
  <si>
    <t>1147-0001-0003</t>
  </si>
  <si>
    <t>L-Bracket</t>
  </si>
  <si>
    <t>1309-0016-4008</t>
  </si>
  <si>
    <t>8mm REX Hub</t>
  </si>
  <si>
    <t>1611-0514-4008</t>
  </si>
  <si>
    <t>REX Flanged Bearing</t>
  </si>
  <si>
    <t>2101-0006-0030</t>
  </si>
  <si>
    <t>6mm D-shaft</t>
  </si>
  <si>
    <t>2106-4008-1040</t>
  </si>
  <si>
    <t>8mm REX Shaft</t>
  </si>
  <si>
    <t>2320-1006-0024</t>
  </si>
  <si>
    <t>Miter Gear D-bore</t>
  </si>
  <si>
    <t>2320-4008-0024</t>
  </si>
  <si>
    <t>Miter Gear REX-bore</t>
  </si>
  <si>
    <t>2802-0004-0010</t>
  </si>
  <si>
    <t>M4 10mm Screws</t>
  </si>
  <si>
    <t>2802-0004-0016</t>
  </si>
  <si>
    <t>M4 16mm Screws</t>
  </si>
  <si>
    <t>2812-0004-0007</t>
  </si>
  <si>
    <t>M4 Nuts</t>
  </si>
  <si>
    <t>2910-0920-4008</t>
  </si>
  <si>
    <t>8mm Shaft Collar</t>
  </si>
  <si>
    <t>3616-0014-0144</t>
  </si>
  <si>
    <t>Wasteland Wheel</t>
  </si>
  <si>
    <t>4000-0004-0006</t>
  </si>
  <si>
    <t>Shaft Coupler</t>
  </si>
  <si>
    <t>M3 6mm Screws</t>
  </si>
  <si>
    <t>Drivetrain Mechanical subtotal</t>
  </si>
  <si>
    <t>Chassis Hardware (Aluminum, Fasteners)</t>
  </si>
  <si>
    <t>89015K243</t>
  </si>
  <si>
    <t>1/8" 18x18 Aluminum Sheet Metal</t>
  </si>
  <si>
    <t>McMaster-Carr</t>
  </si>
  <si>
    <t>90591A265</t>
  </si>
  <si>
    <t>M2 Nuts</t>
  </si>
  <si>
    <t>92000A205</t>
  </si>
  <si>
    <t>M4 65mm Screws</t>
  </si>
  <si>
    <t>92095A455</t>
  </si>
  <si>
    <t>M2 12mm Screws</t>
  </si>
  <si>
    <t>Chassis Hardware (Aluminum, Fasteners) subtotal</t>
  </si>
  <si>
    <t>3D-Printed Parts (Filament)</t>
  </si>
  <si>
    <t>B085TH48N6</t>
  </si>
  <si>
    <t>SUNLU High Speed PETG Filament 1.75mm 1kg - White</t>
  </si>
  <si>
    <t>B0DJS3PJVX</t>
  </si>
  <si>
    <t>SUNLU High Speed PETG Filament 1.75mm 1kg - Black</t>
  </si>
  <si>
    <t>B0FGTSKNJW</t>
  </si>
  <si>
    <t>SUNLU High Speed PETG Filament 1.75mm 1kg - Lavend</t>
  </si>
  <si>
    <t>3D-Printed Parts (Filament) subtotal</t>
  </si>
  <si>
    <t>GRAND TOTAL (component cost, before shipping)</t>
  </si>
  <si>
    <t>Shipping (per source expense report)</t>
  </si>
  <si>
    <t>GRAND TOTAL (with shipping)</t>
  </si>
  <si>
    <t>STAR_MCU PCB -- KiCad-Generated Component BOM (reference)</t>
  </si>
  <si>
    <t>Generated by: kicad-cli sch export bom (KiCad 10.0.1). Source: Schematic/STAR_MCU.kicad_sch</t>
  </si>
  <si>
    <t>Reference</t>
  </si>
  <si>
    <t>Value</t>
  </si>
  <si>
    <t>Footprint</t>
  </si>
  <si>
    <t>QUANTITY</t>
  </si>
  <si>
    <t>DNP</t>
  </si>
  <si>
    <t>MPN</t>
  </si>
  <si>
    <t>Manufacturer</t>
  </si>
  <si>
    <t>C1-C4,C10-C13,C27-C30,C57,C73,C86,C97</t>
  </si>
  <si>
    <t>10n</t>
  </si>
  <si>
    <t>Capacitor_SMD:C_0603_1608Metric_Pad1.08x0.95mm_HandSolder</t>
  </si>
  <si>
    <t>Unpolarized capacitor</t>
  </si>
  <si>
    <t>C5,C6,C14,C17,C19,C31,C56,C60,C66,C68,C69,C72,C76,C80,C81,C84,C88,C90,C93,C94,C96,C110-C113</t>
  </si>
  <si>
    <t>100n</t>
  </si>
  <si>
    <t>C7,C8,C15,C16,C21,C32,C33</t>
  </si>
  <si>
    <t>4u7</t>
  </si>
  <si>
    <t>Capacitor_SMD:C_0805_2012Metric_Pad1.18x1.45mm_HandSolder</t>
  </si>
  <si>
    <t>C9,C18,C20,C22-C24,C34,C55,C59,C65,C71,C75,C79,C83,C87,C89,C92,C95</t>
  </si>
  <si>
    <t>1u</t>
  </si>
  <si>
    <t>C25,C26,C49,C54,C58,C63,C64,C67,C70,C74,C77,C78,C82,C91</t>
  </si>
  <si>
    <t>10u</t>
  </si>
  <si>
    <t>C61,C62</t>
  </si>
  <si>
    <t>27p</t>
  </si>
  <si>
    <t>C85</t>
  </si>
  <si>
    <t>220n</t>
  </si>
  <si>
    <t>D1-D4</t>
  </si>
  <si>
    <t>82306050029</t>
  </si>
  <si>
    <t>82306050029:WESURGE_0603134</t>
  </si>
  <si>
    <t>Wurth Elektronik 82306050029 TVS Diode, 2-Pin SMD</t>
  </si>
  <si>
    <t>D5,D6</t>
  </si>
  <si>
    <t>1N4007W-T</t>
  </si>
  <si>
    <t>1N4007W-T:SODFL3818X130N</t>
  </si>
  <si>
    <t>Rectifiers SOD-123,1A,1000V,GP</t>
  </si>
  <si>
    <t>D7-D14</t>
  </si>
  <si>
    <t>RED</t>
  </si>
  <si>
    <t>SML-D12Y1WT86:LEDC1608X55N</t>
  </si>
  <si>
    <t>Common 5mm diameter LED</t>
  </si>
  <si>
    <t>FB1-FB3</t>
  </si>
  <si>
    <t>22R</t>
  </si>
  <si>
    <t>Resistor_SMD:R_0603_1608Metric_Pad0.98x0.95mm_HandSolder</t>
  </si>
  <si>
    <t>Ferrite bead, small symbol</t>
  </si>
  <si>
    <t>J1</t>
  </si>
  <si>
    <t>Conn_02x20_Odd_Even</t>
  </si>
  <si>
    <t>Connector_PinHeader_2.54mm:PinHeader_2x20_P2.54mm_Vertical</t>
  </si>
  <si>
    <t>Generic connector, double row, 02x20, odd/even pin numbering scheme (row 1 odd numbers, row 2 even numbers), script generated (kicad-library-utils/schlib/autogen/connector/)</t>
  </si>
  <si>
    <t>J2,J4</t>
  </si>
  <si>
    <t>Conn_01x04</t>
  </si>
  <si>
    <t>Connector_PinHeader_2.54mm:PinHeader_1x04_P2.54mm_Vertical</t>
  </si>
  <si>
    <t>HEADER 1x4 MALE PINS 0.100” 180deg</t>
  </si>
  <si>
    <t>J3</t>
  </si>
  <si>
    <t>Conn_01x09</t>
  </si>
  <si>
    <t>Connector_PinHeader_2.54mm:PinHeader_1x09_P2.54mm_Vertical</t>
  </si>
  <si>
    <t>HEADER 1x9 MALE PINS 0.100” 180deg</t>
  </si>
  <si>
    <t>J5</t>
  </si>
  <si>
    <t>S5B-XH-A</t>
  </si>
  <si>
    <t>S5B-XH-A:JST_S5B-XH-A</t>
  </si>
  <si>
    <t>JST</t>
  </si>
  <si>
    <t>J6,J8,J14</t>
  </si>
  <si>
    <t>USB4216-03-A</t>
  </si>
  <si>
    <t>USB4216-03-A:USB421603A</t>
  </si>
  <si>
    <t>USB Connectors USB C Receptacle, Short Body, USB2.0, 16Pin, Horizontal, SMT</t>
  </si>
  <si>
    <t>J7</t>
  </si>
  <si>
    <t>54-00130</t>
  </si>
  <si>
    <t>54_00130:TENSILITY_54-00130</t>
  </si>
  <si>
    <t>TENSILITY</t>
  </si>
  <si>
    <t>J13</t>
  </si>
  <si>
    <t>E1E2-Emulator-Interface</t>
  </si>
  <si>
    <t>E1E2-Emulator-Interface:SAMTEC-HTST-107-01-X-DV</t>
  </si>
  <si>
    <t>E1/E2 Lite Emulator Interface Connector</t>
  </si>
  <si>
    <t>J15,J17,J24,J25</t>
  </si>
  <si>
    <t>Motor_Driver_Module</t>
  </si>
  <si>
    <t>customLibrary:Motor_Driver_Module</t>
  </si>
  <si>
    <t>Generic connector, single row, 01x12, script generated (kicad-library-utils/schlib/autogen/connector/)</t>
  </si>
  <si>
    <t>J18</t>
  </si>
  <si>
    <t>EMU CFG</t>
  </si>
  <si>
    <t>Connector_PinHeader_2.54mm:PinHeader_1x03_P2.54mm_Vertical</t>
  </si>
  <si>
    <t>Generic connector, single row, 01x03, script generated (kicad-library-utils/schlib/autogen/connector/)</t>
  </si>
  <si>
    <t>J19</t>
  </si>
  <si>
    <t>UPSEL_CFG</t>
  </si>
  <si>
    <t>J20,J22</t>
  </si>
  <si>
    <t>1017491</t>
  </si>
  <si>
    <t>1017491:1017491</t>
  </si>
  <si>
    <t>PCB terminal block, nominal current: 24 A, rated voltage (III/2): 400 V, nominal cross section: 2.5 mm?, Number of potentials: 2, Number of rows: 1, Number of positions per row: 2, product range: TDPT 2,5/..-SC, pitch: 5.08 mm, connection method: Screw connection with tension sleeve, mounting: Wave soldering, conductor/PCB connection direction: 0 ?, color: green, Pin layout: Linear double pinning, Solder pin [P]: 3.5 mm, type of packaging: packed in cardboard</t>
  </si>
  <si>
    <t>J21,J23</t>
  </si>
  <si>
    <t>282837-4</t>
  </si>
  <si>
    <t>282837_4:TE_282837-4</t>
  </si>
  <si>
    <t>TE CONNECTIVITY</t>
  </si>
  <si>
    <t>P1-P4</t>
  </si>
  <si>
    <t>282837-2</t>
  </si>
  <si>
    <t>282837_2:TE_282837-2</t>
  </si>
  <si>
    <t>TERMINAL BLOCK 3.5MM 2POS PCB</t>
  </si>
  <si>
    <t>PS1-PS3</t>
  </si>
  <si>
    <t>SKMW30F-05</t>
  </si>
  <si>
    <t>SKMW30F-05:CONV_SKMW30F-05</t>
  </si>
  <si>
    <t>MEAN WELL USA Inc.</t>
  </si>
  <si>
    <t>Q5</t>
  </si>
  <si>
    <t>SSM6J507NU-LF</t>
  </si>
  <si>
    <t>SSM6J507NU-LF:SSM6J507NULF</t>
  </si>
  <si>
    <t>MOSFET Small Signal MOSFET V=30V, I-10A</t>
  </si>
  <si>
    <t>R1,R2,R10,R11,R14-R16,R37,R38,R47,R49,R65,R66,R69-R71,R73,R78,R86,R87,R94,R95</t>
  </si>
  <si>
    <t>4k7</t>
  </si>
  <si>
    <t>Resistor</t>
  </si>
  <si>
    <t>R3,R8,R9,R22,R79,R80,R88,R96</t>
  </si>
  <si>
    <t>5k1</t>
  </si>
  <si>
    <t>R4,R5</t>
  </si>
  <si>
    <t>27R</t>
  </si>
  <si>
    <t>R6</t>
  </si>
  <si>
    <t>15k</t>
  </si>
  <si>
    <t>R7</t>
  </si>
  <si>
    <t>30k</t>
  </si>
  <si>
    <t>R12,R17-R21,R23,R24,R27,R34,R36,R39,R40,R50,R63</t>
  </si>
  <si>
    <t>10k</t>
  </si>
  <si>
    <t>R13,R35</t>
  </si>
  <si>
    <t>20k</t>
  </si>
  <si>
    <t>R25,R26</t>
  </si>
  <si>
    <t>1k</t>
  </si>
  <si>
    <t>R28-R33</t>
  </si>
  <si>
    <t>68R</t>
  </si>
  <si>
    <t>R41-R43,R75,R82,R90,R98</t>
  </si>
  <si>
    <t>0R</t>
  </si>
  <si>
    <t>R74,R81,R89,R97</t>
  </si>
  <si>
    <t>48k</t>
  </si>
  <si>
    <t>S1</t>
  </si>
  <si>
    <t>RST</t>
  </si>
  <si>
    <t>SKRPACE010:SMT_4.2X3.2_</t>
  </si>
  <si>
    <t>Tactile Switches 4.2x3.2x2.5mm 260gf</t>
  </si>
  <si>
    <t>SW1</t>
  </si>
  <si>
    <t>OP_CFG</t>
  </si>
  <si>
    <t>418117270902:418117270902</t>
  </si>
  <si>
    <t>2x DIP Switch, Single Pole Single Throw (SPST) switch, small symbol</t>
  </si>
  <si>
    <t>U1,U2,U6</t>
  </si>
  <si>
    <t>TVS2200DRV</t>
  </si>
  <si>
    <t>TVS2200DRVR:SON65P200X200X80-7N</t>
  </si>
  <si>
    <t>Flat-Clamp Surge Protection Device. 22Vrwm, WSON-6</t>
  </si>
  <si>
    <t>U3</t>
  </si>
  <si>
    <t>LDL1117S33R</t>
  </si>
  <si>
    <t>LDL1117S33R:SOT230P700X180-4N</t>
  </si>
  <si>
    <t>STMICROELECTRONICS - LDL1117S33R - LDO, FIXED, 3.3V, 1.2A, SOT-223-3</t>
  </si>
  <si>
    <t>U4</t>
  </si>
  <si>
    <t>CY7C65213A-28PVXI</t>
  </si>
  <si>
    <t>CY7C65213A-28PVXI:SOP65P780X200-28N</t>
  </si>
  <si>
    <t>USB Interface IC USB FULL-SPEED PERIPHERALS</t>
  </si>
  <si>
    <t>U5</t>
  </si>
  <si>
    <t>TPS2116DRLR</t>
  </si>
  <si>
    <t>TPS2116DRLR:TPS62932DRLR</t>
  </si>
  <si>
    <t>d</t>
  </si>
  <si>
    <t>U10</t>
  </si>
  <si>
    <t>DS18B20+</t>
  </si>
  <si>
    <t>DS18B20+:DS18B20</t>
  </si>
  <si>
    <t>Board Mount Temperature Sensors Programmable Resolution 1-Wire Digital Thermometer</t>
  </si>
  <si>
    <t>U11</t>
  </si>
  <si>
    <t>R5F572NNHDFB#30</t>
  </si>
  <si>
    <t>R5F572NNHDFB-30:QFP50P2200X2200X170-144N</t>
  </si>
  <si>
    <t>The RX72N Group microcontrollers are equipped with the third-generation RX CPU core, the RXv3 core, and these high-performance products operate at 240MHz. Real-time control and networking of equipment are realized with a single chip with 4MB flash memory capable of read operations at 120MHz, 1MB of SRAM and 182 general-purpose I/O ports. The device also supports high-end HMI functionality for advanced display capability. The device also has complete security capability, vital for industrial and consumer equ</t>
  </si>
  <si>
    <t>Y1</t>
  </si>
  <si>
    <t>24MHz</t>
  </si>
  <si>
    <t>ECS_240_20_4X:XTAL_ECS-240-20-4X</t>
  </si>
  <si>
    <t>Two pin crystal</t>
  </si>
  <si>
    <t>Locked Inc. | Texas A&amp;M ESET 420 Senior Capstone | 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</si>
</sst>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00"/>
    <numFmt numFmtId="166" formatCode="\$#,##0.00"/>
  </numFmts>
  <fonts count="9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1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i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66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3" borderId="2" xfId="0" applyFont="1" applyFill="1" applyBorder="1" applyAlignment="1">
      <alignment horizontal="left" vertical="center" inden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right" vertical="top"/>
    </xf>
    <xf numFmtId="0" fontId="0" fillId="4" borderId="1" xfId="0" applyFill="1" applyBorder="1"/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166" fontId="6" fillId="4" borderId="1" xfId="0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6" fontId="7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115" zoomScaleNormal="100" workbookViewId="0">
      <pane ySplit="5" topLeftCell="A73" activePane="bottomLeft" state="frozen"/>
      <selection pane="bottomLeft" activeCell="F104" sqref="F104"/>
    </sheetView>
  </sheetViews>
  <sheetFormatPr baseColWidth="10" defaultColWidth="8.6640625" defaultRowHeight="15" x14ac:dyDescent="0.2"/>
  <cols>
    <col min="1" max="1" width="28" customWidth="1"/>
    <col min="2" max="2" width="56" customWidth="1"/>
    <col min="3" max="3" width="16" customWidth="1"/>
    <col min="4" max="4" width="12" customWidth="1"/>
    <col min="5" max="5" width="7" customWidth="1"/>
    <col min="6" max="6" width="13" customWidth="1"/>
    <col min="7" max="7" width="16" customWidth="1"/>
  </cols>
  <sheetData>
    <row r="1" spans="1:7" ht="20" x14ac:dyDescent="0.2">
      <c r="A1" s="4" t="s">
        <v>0</v>
      </c>
      <c r="B1" s="4"/>
      <c r="C1" s="4"/>
      <c r="D1" s="4"/>
      <c r="E1" s="4"/>
      <c r="F1" s="4"/>
      <c r="G1" s="4"/>
    </row>
    <row r="2" spans="1:7" x14ac:dyDescent="0.2">
      <c r="A2" s="21" t="s">
        <v>344</v>
      </c>
      <c r="B2" s="3"/>
      <c r="C2" s="3"/>
      <c r="D2" s="3"/>
      <c r="E2" s="3"/>
      <c r="F2" s="3"/>
      <c r="G2" s="3"/>
    </row>
    <row r="3" spans="1:7" x14ac:dyDescent="0.2">
      <c r="A3" s="2"/>
      <c r="B3" s="2"/>
      <c r="C3" s="2"/>
      <c r="D3" s="2"/>
      <c r="E3" s="2"/>
      <c r="F3" s="2"/>
      <c r="G3" s="2"/>
    </row>
    <row r="5" spans="1:7" ht="30" x14ac:dyDescent="0.2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</row>
    <row r="6" spans="1:7" x14ac:dyDescent="0.2">
      <c r="A6" s="1" t="s">
        <v>8</v>
      </c>
      <c r="B6" s="1"/>
      <c r="C6" s="1"/>
      <c r="D6" s="1"/>
      <c r="E6" s="1"/>
      <c r="F6" s="1"/>
      <c r="G6" s="1"/>
    </row>
    <row r="7" spans="1:7" x14ac:dyDescent="0.2">
      <c r="A7" s="6" t="s">
        <v>9</v>
      </c>
      <c r="B7" s="7" t="s">
        <v>10</v>
      </c>
      <c r="C7" s="6" t="s">
        <v>11</v>
      </c>
      <c r="D7" s="8">
        <v>46087</v>
      </c>
      <c r="E7" s="9">
        <v>10</v>
      </c>
      <c r="F7" s="10">
        <v>0.16900000000000001</v>
      </c>
      <c r="G7" s="10">
        <f t="shared" ref="G7:G49" si="0">E7*F7</f>
        <v>1.6900000000000002</v>
      </c>
    </row>
    <row r="8" spans="1:7" x14ac:dyDescent="0.2">
      <c r="A8" s="6" t="s">
        <v>12</v>
      </c>
      <c r="B8" s="7" t="s">
        <v>13</v>
      </c>
      <c r="C8" s="6" t="s">
        <v>11</v>
      </c>
      <c r="D8" s="8">
        <v>46087</v>
      </c>
      <c r="E8" s="9">
        <v>50</v>
      </c>
      <c r="F8" s="10">
        <v>1.7000000000000001E-2</v>
      </c>
      <c r="G8" s="10">
        <f t="shared" si="0"/>
        <v>0.85000000000000009</v>
      </c>
    </row>
    <row r="9" spans="1:7" x14ac:dyDescent="0.2">
      <c r="A9" s="6" t="s">
        <v>14</v>
      </c>
      <c r="B9" s="7" t="s">
        <v>15</v>
      </c>
      <c r="C9" s="6" t="s">
        <v>11</v>
      </c>
      <c r="D9" s="8">
        <v>46087</v>
      </c>
      <c r="E9" s="9">
        <v>10</v>
      </c>
      <c r="F9" s="10">
        <v>6.6000000000000003E-2</v>
      </c>
      <c r="G9" s="10">
        <f t="shared" si="0"/>
        <v>0.66</v>
      </c>
    </row>
    <row r="10" spans="1:7" x14ac:dyDescent="0.2">
      <c r="A10" s="6" t="s">
        <v>16</v>
      </c>
      <c r="B10" s="7" t="s">
        <v>17</v>
      </c>
      <c r="C10" s="6" t="s">
        <v>11</v>
      </c>
      <c r="D10" s="8">
        <v>46087</v>
      </c>
      <c r="E10" s="9">
        <v>10</v>
      </c>
      <c r="F10" s="10">
        <v>5.0000000000000001E-3</v>
      </c>
      <c r="G10" s="10">
        <f t="shared" si="0"/>
        <v>0.05</v>
      </c>
    </row>
    <row r="11" spans="1:7" x14ac:dyDescent="0.2">
      <c r="A11" s="6" t="s">
        <v>18</v>
      </c>
      <c r="B11" s="7" t="s">
        <v>19</v>
      </c>
      <c r="C11" s="6" t="s">
        <v>11</v>
      </c>
      <c r="D11" s="8">
        <v>46087</v>
      </c>
      <c r="E11" s="9">
        <v>25</v>
      </c>
      <c r="F11" s="10">
        <v>8.8000000000000005E-3</v>
      </c>
      <c r="G11" s="10">
        <f t="shared" si="0"/>
        <v>0.22</v>
      </c>
    </row>
    <row r="12" spans="1:7" x14ac:dyDescent="0.2">
      <c r="A12" s="6" t="s">
        <v>20</v>
      </c>
      <c r="B12" s="7" t="s">
        <v>21</v>
      </c>
      <c r="C12" s="6" t="s">
        <v>11</v>
      </c>
      <c r="D12" s="8">
        <v>46087</v>
      </c>
      <c r="E12" s="9">
        <v>4</v>
      </c>
      <c r="F12" s="10">
        <v>3.95</v>
      </c>
      <c r="G12" s="10">
        <f t="shared" si="0"/>
        <v>15.8</v>
      </c>
    </row>
    <row r="13" spans="1:7" x14ac:dyDescent="0.2">
      <c r="A13" s="6" t="s">
        <v>22</v>
      </c>
      <c r="B13" s="7" t="s">
        <v>23</v>
      </c>
      <c r="C13" s="6" t="s">
        <v>11</v>
      </c>
      <c r="D13" s="8">
        <v>46087</v>
      </c>
      <c r="E13" s="9">
        <v>4</v>
      </c>
      <c r="F13" s="10">
        <v>29.25</v>
      </c>
      <c r="G13" s="10">
        <f t="shared" si="0"/>
        <v>117</v>
      </c>
    </row>
    <row r="14" spans="1:7" x14ac:dyDescent="0.2">
      <c r="A14" s="6" t="s">
        <v>24</v>
      </c>
      <c r="B14" s="7" t="s">
        <v>25</v>
      </c>
      <c r="C14" s="6" t="s">
        <v>11</v>
      </c>
      <c r="D14" s="8">
        <v>46087</v>
      </c>
      <c r="E14" s="9">
        <v>10</v>
      </c>
      <c r="F14" s="10">
        <v>0.05</v>
      </c>
      <c r="G14" s="10">
        <f t="shared" si="0"/>
        <v>0.5</v>
      </c>
    </row>
    <row r="15" spans="1:7" x14ac:dyDescent="0.2">
      <c r="A15" s="6" t="s">
        <v>26</v>
      </c>
      <c r="B15" s="7" t="s">
        <v>27</v>
      </c>
      <c r="C15" s="6" t="s">
        <v>11</v>
      </c>
      <c r="D15" s="8">
        <v>46087</v>
      </c>
      <c r="E15" s="9">
        <v>2</v>
      </c>
      <c r="F15" s="10">
        <v>0.17</v>
      </c>
      <c r="G15" s="10">
        <f t="shared" si="0"/>
        <v>0.34</v>
      </c>
    </row>
    <row r="16" spans="1:7" x14ac:dyDescent="0.2">
      <c r="A16" s="6" t="s">
        <v>28</v>
      </c>
      <c r="B16" s="7" t="s">
        <v>29</v>
      </c>
      <c r="C16" s="6" t="s">
        <v>11</v>
      </c>
      <c r="D16" s="8">
        <v>46087</v>
      </c>
      <c r="E16" s="9">
        <v>10</v>
      </c>
      <c r="F16" s="10">
        <v>0.13400000000000001</v>
      </c>
      <c r="G16" s="10">
        <f t="shared" si="0"/>
        <v>1.34</v>
      </c>
    </row>
    <row r="17" spans="1:7" x14ac:dyDescent="0.2">
      <c r="A17" s="6" t="s">
        <v>30</v>
      </c>
      <c r="B17" s="7" t="s">
        <v>31</v>
      </c>
      <c r="C17" s="6" t="s">
        <v>11</v>
      </c>
      <c r="D17" s="8">
        <v>46087</v>
      </c>
      <c r="E17" s="9">
        <v>6</v>
      </c>
      <c r="F17" s="10">
        <v>0.62</v>
      </c>
      <c r="G17" s="10">
        <f t="shared" si="0"/>
        <v>3.7199999999999998</v>
      </c>
    </row>
    <row r="18" spans="1:7" x14ac:dyDescent="0.2">
      <c r="A18" s="6" t="s">
        <v>32</v>
      </c>
      <c r="B18" s="7" t="s">
        <v>33</v>
      </c>
      <c r="C18" s="6" t="s">
        <v>11</v>
      </c>
      <c r="D18" s="8">
        <v>46087</v>
      </c>
      <c r="E18" s="9">
        <v>10</v>
      </c>
      <c r="F18" s="10">
        <v>0.51900000000000002</v>
      </c>
      <c r="G18" s="10">
        <f t="shared" si="0"/>
        <v>5.19</v>
      </c>
    </row>
    <row r="19" spans="1:7" x14ac:dyDescent="0.2">
      <c r="A19" s="6" t="s">
        <v>34</v>
      </c>
      <c r="B19" s="7" t="s">
        <v>35</v>
      </c>
      <c r="C19" s="6" t="s">
        <v>11</v>
      </c>
      <c r="D19" s="8">
        <v>46087</v>
      </c>
      <c r="E19" s="9">
        <v>3</v>
      </c>
      <c r="F19" s="10">
        <v>0.9</v>
      </c>
      <c r="G19" s="10">
        <f t="shared" si="0"/>
        <v>2.7</v>
      </c>
    </row>
    <row r="20" spans="1:7" x14ac:dyDescent="0.2">
      <c r="A20" s="6" t="s">
        <v>36</v>
      </c>
      <c r="B20" s="7" t="s">
        <v>37</v>
      </c>
      <c r="C20" s="6" t="s">
        <v>11</v>
      </c>
      <c r="D20" s="8">
        <v>46087</v>
      </c>
      <c r="E20" s="9">
        <v>52</v>
      </c>
      <c r="F20" s="10">
        <v>3.4599999999999999E-2</v>
      </c>
      <c r="G20" s="10">
        <f t="shared" si="0"/>
        <v>1.7991999999999999</v>
      </c>
    </row>
    <row r="21" spans="1:7" x14ac:dyDescent="0.2">
      <c r="A21" s="6" t="s">
        <v>38</v>
      </c>
      <c r="B21" s="7" t="s">
        <v>39</v>
      </c>
      <c r="C21" s="6" t="s">
        <v>11</v>
      </c>
      <c r="D21" s="8">
        <v>46087</v>
      </c>
      <c r="E21" s="9">
        <v>10</v>
      </c>
      <c r="F21" s="10">
        <v>7.0000000000000001E-3</v>
      </c>
      <c r="G21" s="10">
        <f t="shared" si="0"/>
        <v>7.0000000000000007E-2</v>
      </c>
    </row>
    <row r="22" spans="1:7" x14ac:dyDescent="0.2">
      <c r="A22" s="6" t="s">
        <v>40</v>
      </c>
      <c r="B22" s="7" t="s">
        <v>41</v>
      </c>
      <c r="C22" s="6" t="s">
        <v>11</v>
      </c>
      <c r="D22" s="8">
        <v>46087</v>
      </c>
      <c r="E22" s="9">
        <v>10</v>
      </c>
      <c r="F22" s="10">
        <v>6.0000000000000001E-3</v>
      </c>
      <c r="G22" s="10">
        <f t="shared" si="0"/>
        <v>0.06</v>
      </c>
    </row>
    <row r="23" spans="1:7" x14ac:dyDescent="0.2">
      <c r="A23" s="6" t="s">
        <v>42</v>
      </c>
      <c r="B23" s="7" t="s">
        <v>43</v>
      </c>
      <c r="C23" s="6" t="s">
        <v>11</v>
      </c>
      <c r="D23" s="8">
        <v>46087</v>
      </c>
      <c r="E23" s="9">
        <v>50</v>
      </c>
      <c r="F23" s="10">
        <v>5.5999999999999999E-3</v>
      </c>
      <c r="G23" s="10">
        <f t="shared" si="0"/>
        <v>0.27999999999999997</v>
      </c>
    </row>
    <row r="24" spans="1:7" x14ac:dyDescent="0.2">
      <c r="A24" s="6" t="s">
        <v>44</v>
      </c>
      <c r="B24" s="7" t="s">
        <v>45</v>
      </c>
      <c r="C24" s="6" t="s">
        <v>11</v>
      </c>
      <c r="D24" s="8">
        <v>46087</v>
      </c>
      <c r="E24" s="9">
        <v>10</v>
      </c>
      <c r="F24" s="10">
        <v>6.0000000000000001E-3</v>
      </c>
      <c r="G24" s="10">
        <f t="shared" si="0"/>
        <v>0.06</v>
      </c>
    </row>
    <row r="25" spans="1:7" x14ac:dyDescent="0.2">
      <c r="A25" s="6" t="s">
        <v>46</v>
      </c>
      <c r="B25" s="7" t="s">
        <v>47</v>
      </c>
      <c r="C25" s="6" t="s">
        <v>11</v>
      </c>
      <c r="D25" s="8">
        <v>46087</v>
      </c>
      <c r="E25" s="9">
        <v>10</v>
      </c>
      <c r="F25" s="10">
        <v>3.5999999999999997E-2</v>
      </c>
      <c r="G25" s="10">
        <f t="shared" si="0"/>
        <v>0.36</v>
      </c>
    </row>
    <row r="26" spans="1:7" x14ac:dyDescent="0.2">
      <c r="A26" s="6" t="s">
        <v>48</v>
      </c>
      <c r="B26" s="7" t="s">
        <v>49</v>
      </c>
      <c r="C26" s="6" t="s">
        <v>11</v>
      </c>
      <c r="D26" s="8">
        <v>46087</v>
      </c>
      <c r="E26" s="9">
        <v>2</v>
      </c>
      <c r="F26" s="10">
        <v>3.49</v>
      </c>
      <c r="G26" s="10">
        <f t="shared" si="0"/>
        <v>6.98</v>
      </c>
    </row>
    <row r="27" spans="1:7" x14ac:dyDescent="0.2">
      <c r="A27" s="6" t="s">
        <v>50</v>
      </c>
      <c r="B27" s="7" t="s">
        <v>51</v>
      </c>
      <c r="C27" s="6" t="s">
        <v>11</v>
      </c>
      <c r="D27" s="8">
        <v>46087</v>
      </c>
      <c r="E27" s="9">
        <v>2</v>
      </c>
      <c r="F27" s="10">
        <v>0.25</v>
      </c>
      <c r="G27" s="10">
        <f t="shared" si="0"/>
        <v>0.5</v>
      </c>
    </row>
    <row r="28" spans="1:7" x14ac:dyDescent="0.2">
      <c r="A28" s="6" t="s">
        <v>52</v>
      </c>
      <c r="B28" s="7" t="s">
        <v>53</v>
      </c>
      <c r="C28" s="6" t="s">
        <v>11</v>
      </c>
      <c r="D28" s="8">
        <v>46087</v>
      </c>
      <c r="E28" s="9">
        <v>3</v>
      </c>
      <c r="F28" s="10">
        <v>0.21</v>
      </c>
      <c r="G28" s="10">
        <f t="shared" si="0"/>
        <v>0.63</v>
      </c>
    </row>
    <row r="29" spans="1:7" x14ac:dyDescent="0.2">
      <c r="A29" s="6" t="s">
        <v>54</v>
      </c>
      <c r="B29" s="7" t="s">
        <v>55</v>
      </c>
      <c r="C29" s="6" t="s">
        <v>11</v>
      </c>
      <c r="D29" s="8">
        <v>46087</v>
      </c>
      <c r="E29" s="9">
        <v>10</v>
      </c>
      <c r="F29" s="10">
        <v>0.13100000000000001</v>
      </c>
      <c r="G29" s="10">
        <f t="shared" si="0"/>
        <v>1.31</v>
      </c>
    </row>
    <row r="30" spans="1:7" x14ac:dyDescent="0.2">
      <c r="A30" s="6" t="s">
        <v>56</v>
      </c>
      <c r="B30" s="7" t="s">
        <v>57</v>
      </c>
      <c r="C30" s="6" t="s">
        <v>11</v>
      </c>
      <c r="D30" s="8">
        <v>46087</v>
      </c>
      <c r="E30" s="9">
        <v>50</v>
      </c>
      <c r="F30" s="10">
        <v>0.12659999999999999</v>
      </c>
      <c r="G30" s="10">
        <f t="shared" si="0"/>
        <v>6.3299999999999992</v>
      </c>
    </row>
    <row r="31" spans="1:7" x14ac:dyDescent="0.2">
      <c r="A31" s="6" t="s">
        <v>58</v>
      </c>
      <c r="B31" s="7" t="s">
        <v>59</v>
      </c>
      <c r="C31" s="6" t="s">
        <v>11</v>
      </c>
      <c r="D31" s="8">
        <v>46087</v>
      </c>
      <c r="E31" s="9">
        <v>20</v>
      </c>
      <c r="F31" s="10">
        <v>0.10100000000000001</v>
      </c>
      <c r="G31" s="10">
        <f t="shared" si="0"/>
        <v>2.02</v>
      </c>
    </row>
    <row r="32" spans="1:7" x14ac:dyDescent="0.2">
      <c r="A32" s="6" t="s">
        <v>60</v>
      </c>
      <c r="B32" s="7" t="s">
        <v>61</v>
      </c>
      <c r="C32" s="6" t="s">
        <v>11</v>
      </c>
      <c r="D32" s="8">
        <v>46087</v>
      </c>
      <c r="E32" s="9">
        <v>2</v>
      </c>
      <c r="F32" s="10">
        <v>0.36</v>
      </c>
      <c r="G32" s="10">
        <f t="shared" si="0"/>
        <v>0.72</v>
      </c>
    </row>
    <row r="33" spans="1:7" x14ac:dyDescent="0.2">
      <c r="A33" s="6" t="s">
        <v>62</v>
      </c>
      <c r="B33" s="7" t="s">
        <v>63</v>
      </c>
      <c r="C33" s="6" t="s">
        <v>11</v>
      </c>
      <c r="D33" s="8">
        <v>46087</v>
      </c>
      <c r="E33" s="9">
        <v>10</v>
      </c>
      <c r="F33" s="10">
        <v>6.2E-2</v>
      </c>
      <c r="G33" s="10">
        <f t="shared" si="0"/>
        <v>0.62</v>
      </c>
    </row>
    <row r="34" spans="1:7" ht="28" x14ac:dyDescent="0.2">
      <c r="A34" s="6" t="s">
        <v>64</v>
      </c>
      <c r="B34" s="7" t="s">
        <v>65</v>
      </c>
      <c r="C34" s="6" t="s">
        <v>11</v>
      </c>
      <c r="D34" s="8">
        <v>46087</v>
      </c>
      <c r="E34" s="9">
        <v>10</v>
      </c>
      <c r="F34" s="10">
        <v>0.03</v>
      </c>
      <c r="G34" s="10">
        <f t="shared" si="0"/>
        <v>0.3</v>
      </c>
    </row>
    <row r="35" spans="1:7" ht="28" x14ac:dyDescent="0.2">
      <c r="A35" s="6" t="s">
        <v>66</v>
      </c>
      <c r="B35" s="7" t="s">
        <v>67</v>
      </c>
      <c r="C35" s="6" t="s">
        <v>11</v>
      </c>
      <c r="D35" s="8">
        <v>46087</v>
      </c>
      <c r="E35" s="9">
        <v>25</v>
      </c>
      <c r="F35" s="10">
        <v>2.24E-2</v>
      </c>
      <c r="G35" s="10">
        <f t="shared" si="0"/>
        <v>0.55999999999999994</v>
      </c>
    </row>
    <row r="36" spans="1:7" x14ac:dyDescent="0.2">
      <c r="A36" s="6" t="s">
        <v>68</v>
      </c>
      <c r="B36" s="7" t="s">
        <v>69</v>
      </c>
      <c r="C36" s="6" t="s">
        <v>11</v>
      </c>
      <c r="D36" s="8">
        <v>46087</v>
      </c>
      <c r="E36" s="9">
        <v>2</v>
      </c>
      <c r="F36" s="10">
        <v>18.62</v>
      </c>
      <c r="G36" s="10">
        <f t="shared" si="0"/>
        <v>37.24</v>
      </c>
    </row>
    <row r="37" spans="1:7" x14ac:dyDescent="0.2">
      <c r="A37" s="6" t="s">
        <v>70</v>
      </c>
      <c r="B37" s="7" t="s">
        <v>71</v>
      </c>
      <c r="C37" s="6" t="s">
        <v>11</v>
      </c>
      <c r="D37" s="8">
        <v>46087</v>
      </c>
      <c r="E37" s="9">
        <v>40</v>
      </c>
      <c r="F37" s="10">
        <v>2.9000000000000001E-2</v>
      </c>
      <c r="G37" s="10">
        <f t="shared" si="0"/>
        <v>1.1600000000000001</v>
      </c>
    </row>
    <row r="38" spans="1:7" x14ac:dyDescent="0.2">
      <c r="A38" s="6" t="s">
        <v>72</v>
      </c>
      <c r="B38" s="7" t="s">
        <v>73</v>
      </c>
      <c r="C38" s="6" t="s">
        <v>11</v>
      </c>
      <c r="D38" s="8">
        <v>46087</v>
      </c>
      <c r="E38" s="9">
        <v>8</v>
      </c>
      <c r="F38" s="10">
        <v>0.73</v>
      </c>
      <c r="G38" s="10">
        <f t="shared" si="0"/>
        <v>5.84</v>
      </c>
    </row>
    <row r="39" spans="1:7" x14ac:dyDescent="0.2">
      <c r="A39" s="6" t="s">
        <v>74</v>
      </c>
      <c r="B39" s="7" t="s">
        <v>75</v>
      </c>
      <c r="C39" s="6" t="s">
        <v>11</v>
      </c>
      <c r="D39" s="8">
        <v>46087</v>
      </c>
      <c r="E39" s="9">
        <v>2</v>
      </c>
      <c r="F39" s="10">
        <v>1.1399999999999999</v>
      </c>
      <c r="G39" s="10">
        <f t="shared" si="0"/>
        <v>2.2799999999999998</v>
      </c>
    </row>
    <row r="40" spans="1:7" x14ac:dyDescent="0.2">
      <c r="A40" s="6" t="s">
        <v>76</v>
      </c>
      <c r="B40" s="7" t="s">
        <v>77</v>
      </c>
      <c r="C40" s="6" t="s">
        <v>11</v>
      </c>
      <c r="D40" s="8">
        <v>46087</v>
      </c>
      <c r="E40" s="9">
        <v>16</v>
      </c>
      <c r="F40" s="10">
        <v>0.15</v>
      </c>
      <c r="G40" s="10">
        <f t="shared" si="0"/>
        <v>2.4</v>
      </c>
    </row>
    <row r="41" spans="1:7" x14ac:dyDescent="0.2">
      <c r="A41" s="6" t="s">
        <v>78</v>
      </c>
      <c r="B41" s="7" t="s">
        <v>79</v>
      </c>
      <c r="C41" s="6" t="s">
        <v>11</v>
      </c>
      <c r="D41" s="8">
        <v>46087</v>
      </c>
      <c r="E41" s="9">
        <v>2</v>
      </c>
      <c r="F41" s="10">
        <v>1.85</v>
      </c>
      <c r="G41" s="10">
        <f t="shared" si="0"/>
        <v>3.7</v>
      </c>
    </row>
    <row r="42" spans="1:7" ht="28" x14ac:dyDescent="0.2">
      <c r="A42" s="6" t="s">
        <v>80</v>
      </c>
      <c r="B42" s="7" t="s">
        <v>81</v>
      </c>
      <c r="C42" s="6" t="s">
        <v>11</v>
      </c>
      <c r="D42" s="8">
        <v>46087</v>
      </c>
      <c r="E42" s="9">
        <v>2</v>
      </c>
      <c r="F42" s="10">
        <v>0.91</v>
      </c>
      <c r="G42" s="10">
        <f t="shared" si="0"/>
        <v>1.82</v>
      </c>
    </row>
    <row r="43" spans="1:7" x14ac:dyDescent="0.2">
      <c r="A43" s="6" t="s">
        <v>82</v>
      </c>
      <c r="B43" s="7" t="s">
        <v>83</v>
      </c>
      <c r="C43" s="6" t="s">
        <v>11</v>
      </c>
      <c r="D43" s="8">
        <v>46087</v>
      </c>
      <c r="E43" s="9">
        <v>2</v>
      </c>
      <c r="F43" s="10">
        <v>7.46</v>
      </c>
      <c r="G43" s="10">
        <f t="shared" si="0"/>
        <v>14.92</v>
      </c>
    </row>
    <row r="44" spans="1:7" x14ac:dyDescent="0.2">
      <c r="A44" s="6" t="s">
        <v>84</v>
      </c>
      <c r="B44" s="7" t="s">
        <v>85</v>
      </c>
      <c r="C44" s="6" t="s">
        <v>11</v>
      </c>
      <c r="D44" s="8">
        <v>46087</v>
      </c>
      <c r="E44" s="9">
        <v>3</v>
      </c>
      <c r="F44" s="10">
        <v>0.12</v>
      </c>
      <c r="G44" s="10">
        <f t="shared" si="0"/>
        <v>0.36</v>
      </c>
    </row>
    <row r="45" spans="1:7" x14ac:dyDescent="0.2">
      <c r="A45" s="6" t="s">
        <v>86</v>
      </c>
      <c r="B45" s="7" t="s">
        <v>87</v>
      </c>
      <c r="C45" s="6" t="s">
        <v>11</v>
      </c>
      <c r="D45" s="8">
        <v>46087</v>
      </c>
      <c r="E45" s="9">
        <v>2</v>
      </c>
      <c r="F45" s="10">
        <v>3.77</v>
      </c>
      <c r="G45" s="10">
        <f t="shared" si="0"/>
        <v>7.54</v>
      </c>
    </row>
    <row r="46" spans="1:7" x14ac:dyDescent="0.2">
      <c r="A46" s="6" t="s">
        <v>88</v>
      </c>
      <c r="B46" s="7" t="s">
        <v>89</v>
      </c>
      <c r="C46" s="6" t="s">
        <v>11</v>
      </c>
      <c r="D46" s="8">
        <v>46087</v>
      </c>
      <c r="E46" s="9">
        <v>4</v>
      </c>
      <c r="F46" s="10">
        <v>0.17</v>
      </c>
      <c r="G46" s="10">
        <f t="shared" si="0"/>
        <v>0.68</v>
      </c>
    </row>
    <row r="47" spans="1:7" x14ac:dyDescent="0.2">
      <c r="A47" s="6" t="s">
        <v>90</v>
      </c>
      <c r="B47" s="7" t="s">
        <v>91</v>
      </c>
      <c r="C47" s="6" t="s">
        <v>11</v>
      </c>
      <c r="D47" s="8">
        <v>46087</v>
      </c>
      <c r="E47" s="9">
        <v>3</v>
      </c>
      <c r="F47" s="10">
        <v>0.71</v>
      </c>
      <c r="G47" s="10">
        <f t="shared" si="0"/>
        <v>2.13</v>
      </c>
    </row>
    <row r="48" spans="1:7" x14ac:dyDescent="0.2">
      <c r="A48" s="6" t="s">
        <v>92</v>
      </c>
      <c r="B48" s="7" t="s">
        <v>93</v>
      </c>
      <c r="C48" s="6" t="s">
        <v>11</v>
      </c>
      <c r="D48" s="8">
        <v>46087</v>
      </c>
      <c r="E48" s="9">
        <v>2</v>
      </c>
      <c r="F48" s="10">
        <v>0.59</v>
      </c>
      <c r="G48" s="10">
        <f t="shared" si="0"/>
        <v>1.18</v>
      </c>
    </row>
    <row r="49" spans="1:7" x14ac:dyDescent="0.2">
      <c r="A49" s="6" t="s">
        <v>94</v>
      </c>
      <c r="B49" s="7" t="s">
        <v>95</v>
      </c>
      <c r="C49" s="6" t="s">
        <v>11</v>
      </c>
      <c r="D49" s="8">
        <v>46087</v>
      </c>
      <c r="E49" s="9">
        <v>40</v>
      </c>
      <c r="F49" s="10">
        <v>6.5600000000000006E-2</v>
      </c>
      <c r="G49" s="10">
        <f t="shared" si="0"/>
        <v>2.6240000000000001</v>
      </c>
    </row>
    <row r="50" spans="1:7" x14ac:dyDescent="0.2">
      <c r="A50" s="11"/>
      <c r="B50" s="12" t="s">
        <v>96</v>
      </c>
      <c r="C50" s="11"/>
      <c r="D50" s="11"/>
      <c r="E50" s="13">
        <f>SUM(E7:E49)</f>
        <v>558</v>
      </c>
      <c r="F50" s="11"/>
      <c r="G50" s="14">
        <f>SUM(G7:G49)</f>
        <v>256.53320000000008</v>
      </c>
    </row>
    <row r="51" spans="1:7" x14ac:dyDescent="0.2">
      <c r="A51" s="1" t="s">
        <v>97</v>
      </c>
      <c r="B51" s="1"/>
      <c r="C51" s="1"/>
      <c r="D51" s="1"/>
      <c r="E51" s="1"/>
      <c r="F51" s="1"/>
      <c r="G51" s="1"/>
    </row>
    <row r="52" spans="1:7" x14ac:dyDescent="0.2">
      <c r="A52" s="6" t="s">
        <v>98</v>
      </c>
      <c r="B52" s="7" t="s">
        <v>99</v>
      </c>
      <c r="C52" s="6" t="s">
        <v>100</v>
      </c>
      <c r="D52" s="8">
        <v>46106</v>
      </c>
      <c r="E52" s="9">
        <v>1</v>
      </c>
      <c r="F52" s="10">
        <v>240</v>
      </c>
      <c r="G52" s="10">
        <f>E52*F52</f>
        <v>240</v>
      </c>
    </row>
    <row r="53" spans="1:7" x14ac:dyDescent="0.2">
      <c r="A53" s="6" t="s">
        <v>101</v>
      </c>
      <c r="B53" s="7" t="s">
        <v>102</v>
      </c>
      <c r="C53" s="6" t="s">
        <v>103</v>
      </c>
      <c r="D53" s="8">
        <v>46120</v>
      </c>
      <c r="E53" s="9">
        <v>10</v>
      </c>
      <c r="F53" s="10">
        <v>2.25</v>
      </c>
      <c r="G53" s="10">
        <f>E53*F53</f>
        <v>22.5</v>
      </c>
    </row>
    <row r="54" spans="1:7" x14ac:dyDescent="0.2">
      <c r="A54" s="6" t="s">
        <v>104</v>
      </c>
      <c r="B54" s="7" t="s">
        <v>105</v>
      </c>
      <c r="C54" s="6" t="s">
        <v>103</v>
      </c>
      <c r="D54" s="8">
        <v>46120</v>
      </c>
      <c r="E54" s="9">
        <v>10</v>
      </c>
      <c r="F54" s="10">
        <v>2.25</v>
      </c>
      <c r="G54" s="10">
        <f>E54*F54</f>
        <v>22.5</v>
      </c>
    </row>
    <row r="55" spans="1:7" x14ac:dyDescent="0.2">
      <c r="A55" s="11"/>
      <c r="B55" s="12" t="s">
        <v>106</v>
      </c>
      <c r="C55" s="11"/>
      <c r="D55" s="11"/>
      <c r="E55" s="13">
        <f>SUM(E52:E54)</f>
        <v>21</v>
      </c>
      <c r="F55" s="11"/>
      <c r="G55" s="14">
        <f>SUM(G52:G54)</f>
        <v>285</v>
      </c>
    </row>
    <row r="56" spans="1:7" x14ac:dyDescent="0.2">
      <c r="A56" s="1" t="s">
        <v>107</v>
      </c>
      <c r="B56" s="1"/>
      <c r="C56" s="1"/>
      <c r="D56" s="1"/>
      <c r="E56" s="1"/>
      <c r="F56" s="1"/>
      <c r="G56" s="1"/>
    </row>
    <row r="57" spans="1:7" x14ac:dyDescent="0.2">
      <c r="A57" s="6">
        <v>5238</v>
      </c>
      <c r="B57" s="7" t="s">
        <v>108</v>
      </c>
      <c r="C57" s="6" t="s">
        <v>109</v>
      </c>
      <c r="D57" s="8">
        <v>46077</v>
      </c>
      <c r="E57" s="9">
        <v>5</v>
      </c>
      <c r="F57" s="10">
        <v>13.75</v>
      </c>
      <c r="G57" s="10">
        <f>E57*F57</f>
        <v>68.75</v>
      </c>
    </row>
    <row r="58" spans="1:7" x14ac:dyDescent="0.2">
      <c r="A58" s="11"/>
      <c r="B58" s="12" t="s">
        <v>110</v>
      </c>
      <c r="C58" s="11"/>
      <c r="D58" s="11"/>
      <c r="E58" s="13">
        <f>SUM(E57)</f>
        <v>5</v>
      </c>
      <c r="F58" s="11"/>
      <c r="G58" s="14">
        <f>SUM(G57)</f>
        <v>68.75</v>
      </c>
    </row>
    <row r="59" spans="1:7" x14ac:dyDescent="0.2">
      <c r="A59" s="1" t="s">
        <v>111</v>
      </c>
      <c r="B59" s="1"/>
      <c r="C59" s="1"/>
      <c r="D59" s="1"/>
      <c r="E59" s="1"/>
      <c r="F59" s="1"/>
      <c r="G59" s="1"/>
    </row>
    <row r="60" spans="1:7" ht="28" x14ac:dyDescent="0.2">
      <c r="A60" s="6" t="s">
        <v>112</v>
      </c>
      <c r="B60" s="7" t="s">
        <v>113</v>
      </c>
      <c r="C60" s="6" t="s">
        <v>11</v>
      </c>
      <c r="D60" s="8">
        <v>46087</v>
      </c>
      <c r="E60" s="9">
        <v>4</v>
      </c>
      <c r="F60" s="10">
        <v>1.06</v>
      </c>
      <c r="G60" s="10">
        <f>E60*F60</f>
        <v>4.24</v>
      </c>
    </row>
    <row r="61" spans="1:7" x14ac:dyDescent="0.2">
      <c r="A61" s="6" t="s">
        <v>114</v>
      </c>
      <c r="B61" s="7" t="s">
        <v>115</v>
      </c>
      <c r="C61" s="6" t="s">
        <v>11</v>
      </c>
      <c r="D61" s="8">
        <v>46087</v>
      </c>
      <c r="E61" s="9">
        <v>50</v>
      </c>
      <c r="F61" s="10">
        <v>2.52E-2</v>
      </c>
      <c r="G61" s="10">
        <f>E61*F61</f>
        <v>1.26</v>
      </c>
    </row>
    <row r="62" spans="1:7" x14ac:dyDescent="0.2">
      <c r="A62" s="6" t="s">
        <v>116</v>
      </c>
      <c r="B62" s="7" t="s">
        <v>117</v>
      </c>
      <c r="C62" s="6" t="s">
        <v>118</v>
      </c>
      <c r="D62" s="8">
        <v>46120</v>
      </c>
      <c r="E62" s="9">
        <v>50</v>
      </c>
      <c r="F62" s="10">
        <v>3.6799999999999999E-2</v>
      </c>
      <c r="G62" s="10">
        <f>E62*F62</f>
        <v>1.8399999999999999</v>
      </c>
    </row>
    <row r="63" spans="1:7" x14ac:dyDescent="0.2">
      <c r="A63" s="6" t="s">
        <v>119</v>
      </c>
      <c r="B63" s="7" t="s">
        <v>120</v>
      </c>
      <c r="C63" s="6" t="s">
        <v>118</v>
      </c>
      <c r="D63" s="8">
        <v>46120</v>
      </c>
      <c r="E63" s="9">
        <v>50</v>
      </c>
      <c r="F63" s="10">
        <v>0.32119999999999999</v>
      </c>
      <c r="G63" s="10">
        <f>E63*F63</f>
        <v>16.059999999999999</v>
      </c>
    </row>
    <row r="64" spans="1:7" x14ac:dyDescent="0.2">
      <c r="A64" s="6" t="s">
        <v>121</v>
      </c>
      <c r="B64" s="7" t="s">
        <v>122</v>
      </c>
      <c r="C64" s="6" t="s">
        <v>109</v>
      </c>
      <c r="D64" s="8">
        <v>46120</v>
      </c>
      <c r="E64" s="9">
        <v>10</v>
      </c>
      <c r="F64" s="10">
        <v>1.79</v>
      </c>
      <c r="G64" s="10">
        <f>E64*F64</f>
        <v>17.899999999999999</v>
      </c>
    </row>
    <row r="65" spans="1:7" x14ac:dyDescent="0.2">
      <c r="A65" s="11"/>
      <c r="B65" s="12" t="s">
        <v>123</v>
      </c>
      <c r="C65" s="11"/>
      <c r="D65" s="11"/>
      <c r="E65" s="13">
        <f>SUM(E60:E64)</f>
        <v>164</v>
      </c>
      <c r="F65" s="11"/>
      <c r="G65" s="14">
        <f>SUM(G60:G64)</f>
        <v>41.3</v>
      </c>
    </row>
    <row r="66" spans="1:7" x14ac:dyDescent="0.2">
      <c r="A66" s="1" t="s">
        <v>124</v>
      </c>
      <c r="B66" s="1"/>
      <c r="C66" s="1"/>
      <c r="D66" s="1"/>
      <c r="E66" s="1"/>
      <c r="F66" s="1"/>
      <c r="G66" s="1"/>
    </row>
    <row r="67" spans="1:7" x14ac:dyDescent="0.2">
      <c r="A67" s="6" t="s">
        <v>125</v>
      </c>
      <c r="B67" s="7" t="s">
        <v>126</v>
      </c>
      <c r="C67" s="6" t="s">
        <v>127</v>
      </c>
      <c r="D67" s="8">
        <v>46120</v>
      </c>
      <c r="E67" s="9">
        <v>1</v>
      </c>
      <c r="F67" s="10">
        <v>7.99</v>
      </c>
      <c r="G67" s="10">
        <f>E67*F67</f>
        <v>7.99</v>
      </c>
    </row>
    <row r="68" spans="1:7" x14ac:dyDescent="0.2">
      <c r="A68" s="6" t="s">
        <v>128</v>
      </c>
      <c r="B68" s="7" t="s">
        <v>129</v>
      </c>
      <c r="C68" s="6" t="s">
        <v>127</v>
      </c>
      <c r="D68" s="8">
        <v>46120</v>
      </c>
      <c r="E68" s="9">
        <v>1</v>
      </c>
      <c r="F68" s="10">
        <v>15.99</v>
      </c>
      <c r="G68" s="10">
        <f>E68*F68</f>
        <v>15.99</v>
      </c>
    </row>
    <row r="69" spans="1:7" x14ac:dyDescent="0.2">
      <c r="A69" s="11"/>
      <c r="B69" s="12" t="s">
        <v>130</v>
      </c>
      <c r="C69" s="11"/>
      <c r="D69" s="11"/>
      <c r="E69" s="13">
        <f>SUM(E67:E68)</f>
        <v>2</v>
      </c>
      <c r="F69" s="11"/>
      <c r="G69" s="14">
        <f>SUM(G67:G68)</f>
        <v>23.98</v>
      </c>
    </row>
    <row r="70" spans="1:7" x14ac:dyDescent="0.2">
      <c r="A70" s="1" t="s">
        <v>131</v>
      </c>
      <c r="B70" s="1"/>
      <c r="C70" s="1"/>
      <c r="D70" s="1"/>
      <c r="E70" s="1"/>
      <c r="F70" s="1"/>
      <c r="G70" s="1"/>
    </row>
    <row r="71" spans="1:7" x14ac:dyDescent="0.2">
      <c r="A71" s="6" t="s">
        <v>132</v>
      </c>
      <c r="B71" s="7" t="s">
        <v>133</v>
      </c>
      <c r="C71" s="6" t="s">
        <v>134</v>
      </c>
      <c r="D71" s="8">
        <v>46077</v>
      </c>
      <c r="E71" s="9">
        <v>2</v>
      </c>
      <c r="F71" s="10">
        <v>15.99</v>
      </c>
      <c r="G71" s="10">
        <f t="shared" ref="G71:G85" si="1">E71*F71</f>
        <v>31.98</v>
      </c>
    </row>
    <row r="72" spans="1:7" x14ac:dyDescent="0.2">
      <c r="A72" s="6" t="s">
        <v>135</v>
      </c>
      <c r="B72" s="7" t="s">
        <v>136</v>
      </c>
      <c r="C72" s="6" t="s">
        <v>134</v>
      </c>
      <c r="D72" s="8">
        <v>46077</v>
      </c>
      <c r="E72" s="9">
        <v>1</v>
      </c>
      <c r="F72" s="10">
        <v>5.99</v>
      </c>
      <c r="G72" s="10">
        <f t="shared" si="1"/>
        <v>5.99</v>
      </c>
    </row>
    <row r="73" spans="1:7" x14ac:dyDescent="0.2">
      <c r="A73" s="6" t="s">
        <v>137</v>
      </c>
      <c r="B73" s="7" t="s">
        <v>138</v>
      </c>
      <c r="C73" s="6" t="s">
        <v>134</v>
      </c>
      <c r="D73" s="8">
        <v>46077</v>
      </c>
      <c r="E73" s="9">
        <v>4</v>
      </c>
      <c r="F73" s="10">
        <v>7.99</v>
      </c>
      <c r="G73" s="10">
        <f t="shared" si="1"/>
        <v>31.96</v>
      </c>
    </row>
    <row r="74" spans="1:7" x14ac:dyDescent="0.2">
      <c r="A74" s="6" t="s">
        <v>139</v>
      </c>
      <c r="B74" s="7" t="s">
        <v>140</v>
      </c>
      <c r="C74" s="6" t="s">
        <v>134</v>
      </c>
      <c r="D74" s="8">
        <v>46077</v>
      </c>
      <c r="E74" s="9">
        <v>4</v>
      </c>
      <c r="F74" s="10">
        <v>5.99</v>
      </c>
      <c r="G74" s="10">
        <f t="shared" si="1"/>
        <v>23.96</v>
      </c>
    </row>
    <row r="75" spans="1:7" x14ac:dyDescent="0.2">
      <c r="A75" s="6" t="s">
        <v>141</v>
      </c>
      <c r="B75" s="7" t="s">
        <v>142</v>
      </c>
      <c r="C75" s="6" t="s">
        <v>134</v>
      </c>
      <c r="D75" s="8">
        <v>46077</v>
      </c>
      <c r="E75" s="9">
        <v>4</v>
      </c>
      <c r="F75" s="10">
        <v>2.79</v>
      </c>
      <c r="G75" s="10">
        <f t="shared" si="1"/>
        <v>11.16</v>
      </c>
    </row>
    <row r="76" spans="1:7" x14ac:dyDescent="0.2">
      <c r="A76" s="6" t="s">
        <v>143</v>
      </c>
      <c r="B76" s="7" t="s">
        <v>144</v>
      </c>
      <c r="C76" s="6" t="s">
        <v>134</v>
      </c>
      <c r="D76" s="8">
        <v>46077</v>
      </c>
      <c r="E76" s="9">
        <v>4</v>
      </c>
      <c r="F76" s="10">
        <v>5.59</v>
      </c>
      <c r="G76" s="10">
        <f t="shared" si="1"/>
        <v>22.36</v>
      </c>
    </row>
    <row r="77" spans="1:7" x14ac:dyDescent="0.2">
      <c r="A77" s="6" t="s">
        <v>145</v>
      </c>
      <c r="B77" s="7" t="s">
        <v>146</v>
      </c>
      <c r="C77" s="6" t="s">
        <v>134</v>
      </c>
      <c r="D77" s="8">
        <v>46077</v>
      </c>
      <c r="E77" s="9">
        <v>4</v>
      </c>
      <c r="F77" s="10">
        <v>15.99</v>
      </c>
      <c r="G77" s="10">
        <f t="shared" si="1"/>
        <v>63.96</v>
      </c>
    </row>
    <row r="78" spans="1:7" x14ac:dyDescent="0.2">
      <c r="A78" s="6" t="s">
        <v>147</v>
      </c>
      <c r="B78" s="7" t="s">
        <v>148</v>
      </c>
      <c r="C78" s="6" t="s">
        <v>134</v>
      </c>
      <c r="D78" s="8">
        <v>46077</v>
      </c>
      <c r="E78" s="9">
        <v>4</v>
      </c>
      <c r="F78" s="10">
        <v>15.99</v>
      </c>
      <c r="G78" s="10">
        <f t="shared" si="1"/>
        <v>63.96</v>
      </c>
    </row>
    <row r="79" spans="1:7" x14ac:dyDescent="0.2">
      <c r="A79" s="6" t="s">
        <v>149</v>
      </c>
      <c r="B79" s="7" t="s">
        <v>150</v>
      </c>
      <c r="C79" s="6" t="s">
        <v>134</v>
      </c>
      <c r="D79" s="8">
        <v>46077</v>
      </c>
      <c r="E79" s="9">
        <v>1</v>
      </c>
      <c r="F79" s="10">
        <v>3.39</v>
      </c>
      <c r="G79" s="10">
        <f t="shared" si="1"/>
        <v>3.39</v>
      </c>
    </row>
    <row r="80" spans="1:7" x14ac:dyDescent="0.2">
      <c r="A80" s="6" t="s">
        <v>151</v>
      </c>
      <c r="B80" s="7" t="s">
        <v>152</v>
      </c>
      <c r="C80" s="6" t="s">
        <v>134</v>
      </c>
      <c r="D80" s="8">
        <v>46077</v>
      </c>
      <c r="E80" s="9">
        <v>2</v>
      </c>
      <c r="F80" s="10">
        <v>3.79</v>
      </c>
      <c r="G80" s="10">
        <f t="shared" si="1"/>
        <v>7.58</v>
      </c>
    </row>
    <row r="81" spans="1:7" x14ac:dyDescent="0.2">
      <c r="A81" s="6" t="s">
        <v>153</v>
      </c>
      <c r="B81" s="7" t="s">
        <v>154</v>
      </c>
      <c r="C81" s="6" t="s">
        <v>134</v>
      </c>
      <c r="D81" s="8">
        <v>46077</v>
      </c>
      <c r="E81" s="9">
        <v>3</v>
      </c>
      <c r="F81" s="10">
        <v>2.99</v>
      </c>
      <c r="G81" s="10">
        <f t="shared" si="1"/>
        <v>8.9700000000000006</v>
      </c>
    </row>
    <row r="82" spans="1:7" x14ac:dyDescent="0.2">
      <c r="A82" s="6" t="s">
        <v>155</v>
      </c>
      <c r="B82" s="7" t="s">
        <v>156</v>
      </c>
      <c r="C82" s="6" t="s">
        <v>134</v>
      </c>
      <c r="D82" s="8">
        <v>46077</v>
      </c>
      <c r="E82" s="9">
        <v>8</v>
      </c>
      <c r="F82" s="10">
        <v>4.99</v>
      </c>
      <c r="G82" s="10">
        <f t="shared" si="1"/>
        <v>39.92</v>
      </c>
    </row>
    <row r="83" spans="1:7" x14ac:dyDescent="0.2">
      <c r="A83" s="6" t="s">
        <v>157</v>
      </c>
      <c r="B83" s="7" t="s">
        <v>158</v>
      </c>
      <c r="C83" s="6" t="s">
        <v>134</v>
      </c>
      <c r="D83" s="8">
        <v>46077</v>
      </c>
      <c r="E83" s="9">
        <v>4</v>
      </c>
      <c r="F83" s="10">
        <v>24.99</v>
      </c>
      <c r="G83" s="10">
        <f t="shared" si="1"/>
        <v>99.96</v>
      </c>
    </row>
    <row r="84" spans="1:7" x14ac:dyDescent="0.2">
      <c r="A84" s="6" t="s">
        <v>159</v>
      </c>
      <c r="B84" s="7" t="s">
        <v>160</v>
      </c>
      <c r="C84" s="6" t="s">
        <v>134</v>
      </c>
      <c r="D84" s="8">
        <v>46077</v>
      </c>
      <c r="E84" s="9">
        <v>4</v>
      </c>
      <c r="F84" s="10">
        <v>4.99</v>
      </c>
      <c r="G84" s="10">
        <f t="shared" si="1"/>
        <v>19.96</v>
      </c>
    </row>
    <row r="85" spans="1:7" x14ac:dyDescent="0.2">
      <c r="A85" s="6">
        <v>632286</v>
      </c>
      <c r="B85" s="7" t="s">
        <v>161</v>
      </c>
      <c r="C85" s="6" t="s">
        <v>134</v>
      </c>
      <c r="D85" s="8">
        <v>46077</v>
      </c>
      <c r="E85" s="9">
        <v>2</v>
      </c>
      <c r="F85" s="10">
        <v>1.99</v>
      </c>
      <c r="G85" s="10">
        <f t="shared" si="1"/>
        <v>3.98</v>
      </c>
    </row>
    <row r="86" spans="1:7" x14ac:dyDescent="0.2">
      <c r="A86" s="11"/>
      <c r="B86" s="12" t="s">
        <v>162</v>
      </c>
      <c r="C86" s="11"/>
      <c r="D86" s="11"/>
      <c r="E86" s="13">
        <f>SUM(E71:E85)</f>
        <v>51</v>
      </c>
      <c r="F86" s="11"/>
      <c r="G86" s="14">
        <f>SUM(G71:G85)</f>
        <v>439.09000000000003</v>
      </c>
    </row>
    <row r="87" spans="1:7" x14ac:dyDescent="0.2">
      <c r="A87" s="1" t="s">
        <v>163</v>
      </c>
      <c r="B87" s="1"/>
      <c r="C87" s="1"/>
      <c r="D87" s="1"/>
      <c r="E87" s="1"/>
      <c r="F87" s="1"/>
      <c r="G87" s="1"/>
    </row>
    <row r="88" spans="1:7" x14ac:dyDescent="0.2">
      <c r="A88" s="6" t="s">
        <v>164</v>
      </c>
      <c r="B88" s="7" t="s">
        <v>165</v>
      </c>
      <c r="C88" s="6" t="s">
        <v>166</v>
      </c>
      <c r="D88" s="8">
        <v>46098</v>
      </c>
      <c r="E88" s="9">
        <v>1</v>
      </c>
      <c r="F88" s="10">
        <v>67.069999999999993</v>
      </c>
      <c r="G88" s="10">
        <f>E88*F88</f>
        <v>67.069999999999993</v>
      </c>
    </row>
    <row r="89" spans="1:7" x14ac:dyDescent="0.2">
      <c r="A89" s="6" t="s">
        <v>167</v>
      </c>
      <c r="B89" s="7" t="s">
        <v>168</v>
      </c>
      <c r="C89" s="6" t="s">
        <v>166</v>
      </c>
      <c r="D89" s="8">
        <v>46098</v>
      </c>
      <c r="E89" s="9">
        <v>1</v>
      </c>
      <c r="F89" s="10">
        <v>2.2200000000000002</v>
      </c>
      <c r="G89" s="10">
        <f>E89*F89</f>
        <v>2.2200000000000002</v>
      </c>
    </row>
    <row r="90" spans="1:7" x14ac:dyDescent="0.2">
      <c r="A90" s="6" t="s">
        <v>169</v>
      </c>
      <c r="B90" s="7" t="s">
        <v>170</v>
      </c>
      <c r="C90" s="6" t="s">
        <v>166</v>
      </c>
      <c r="D90" s="8">
        <v>46098</v>
      </c>
      <c r="E90" s="9">
        <v>1</v>
      </c>
      <c r="F90" s="10">
        <v>9.94</v>
      </c>
      <c r="G90" s="10">
        <f>E90*F90</f>
        <v>9.94</v>
      </c>
    </row>
    <row r="91" spans="1:7" x14ac:dyDescent="0.2">
      <c r="A91" s="6" t="s">
        <v>171</v>
      </c>
      <c r="B91" s="7" t="s">
        <v>172</v>
      </c>
      <c r="C91" s="6" t="s">
        <v>166</v>
      </c>
      <c r="D91" s="8">
        <v>46098</v>
      </c>
      <c r="E91" s="9">
        <v>1</v>
      </c>
      <c r="F91" s="10">
        <v>7.44</v>
      </c>
      <c r="G91" s="10">
        <f>E91*F91</f>
        <v>7.44</v>
      </c>
    </row>
    <row r="92" spans="1:7" x14ac:dyDescent="0.2">
      <c r="A92" s="11"/>
      <c r="B92" s="12" t="s">
        <v>173</v>
      </c>
      <c r="C92" s="11"/>
      <c r="D92" s="11"/>
      <c r="E92" s="13">
        <f>SUM(E88:E91)</f>
        <v>4</v>
      </c>
      <c r="F92" s="11"/>
      <c r="G92" s="14">
        <f>SUM(G88:G91)</f>
        <v>86.669999999999987</v>
      </c>
    </row>
    <row r="93" spans="1:7" x14ac:dyDescent="0.2">
      <c r="A93" s="1" t="s">
        <v>174</v>
      </c>
      <c r="B93" s="1"/>
      <c r="C93" s="1"/>
      <c r="D93" s="1"/>
      <c r="E93" s="1"/>
      <c r="F93" s="1"/>
      <c r="G93" s="1"/>
    </row>
    <row r="94" spans="1:7" x14ac:dyDescent="0.2">
      <c r="A94" s="6" t="s">
        <v>175</v>
      </c>
      <c r="B94" s="7" t="s">
        <v>176</v>
      </c>
      <c r="C94" s="6" t="s">
        <v>127</v>
      </c>
      <c r="D94" s="8">
        <v>46077</v>
      </c>
      <c r="E94" s="9">
        <v>1</v>
      </c>
      <c r="F94" s="10">
        <v>16.14</v>
      </c>
      <c r="G94" s="10">
        <f>E94*F94</f>
        <v>16.14</v>
      </c>
    </row>
    <row r="95" spans="1:7" x14ac:dyDescent="0.2">
      <c r="A95" s="6" t="s">
        <v>177</v>
      </c>
      <c r="B95" s="7" t="s">
        <v>178</v>
      </c>
      <c r="C95" s="6" t="s">
        <v>127</v>
      </c>
      <c r="D95" s="8">
        <v>46077</v>
      </c>
      <c r="E95" s="9">
        <v>1</v>
      </c>
      <c r="F95" s="10">
        <v>14.99</v>
      </c>
      <c r="G95" s="10">
        <f>E95*F95</f>
        <v>14.99</v>
      </c>
    </row>
    <row r="96" spans="1:7" x14ac:dyDescent="0.2">
      <c r="A96" s="6" t="s">
        <v>179</v>
      </c>
      <c r="B96" s="7" t="s">
        <v>180</v>
      </c>
      <c r="C96" s="6" t="s">
        <v>127</v>
      </c>
      <c r="D96" s="8">
        <v>46077</v>
      </c>
      <c r="E96" s="9">
        <v>1</v>
      </c>
      <c r="F96" s="10">
        <v>16.989999999999998</v>
      </c>
      <c r="G96" s="10">
        <f>E96*F96</f>
        <v>16.989999999999998</v>
      </c>
    </row>
    <row r="97" spans="1:7" x14ac:dyDescent="0.2">
      <c r="A97" s="11"/>
      <c r="B97" s="12" t="s">
        <v>181</v>
      </c>
      <c r="C97" s="11"/>
      <c r="D97" s="11"/>
      <c r="E97" s="13">
        <f>SUM(E94:E96)</f>
        <v>3</v>
      </c>
      <c r="F97" s="11"/>
      <c r="G97" s="14">
        <f>SUM(G94:G96)</f>
        <v>48.120000000000005</v>
      </c>
    </row>
    <row r="99" spans="1:7" x14ac:dyDescent="0.2">
      <c r="B99" s="15" t="s">
        <v>182</v>
      </c>
      <c r="G99" s="16">
        <f>SUM(G7:G49)+SUM(G52:G54)+SUM(G57)+SUM(G60:G64)+SUM(G67:G68)+SUM(G71:G85)+SUM(G88:G91)+SUM(G94:G96)</f>
        <v>1249.4432000000002</v>
      </c>
    </row>
    <row r="100" spans="1:7" x14ac:dyDescent="0.2">
      <c r="B100" s="17" t="s">
        <v>183</v>
      </c>
      <c r="G100" s="18">
        <v>300</v>
      </c>
    </row>
    <row r="101" spans="1:7" ht="16" x14ac:dyDescent="0.2">
      <c r="B101" s="19" t="s">
        <v>184</v>
      </c>
      <c r="G101" s="20">
        <f>G99+G100</f>
        <v>1549.4432000000002</v>
      </c>
    </row>
  </sheetData>
  <mergeCells count="11">
    <mergeCell ref="A93:G93"/>
    <mergeCell ref="A56:G56"/>
    <mergeCell ref="A59:G59"/>
    <mergeCell ref="A66:G66"/>
    <mergeCell ref="A70:G70"/>
    <mergeCell ref="A87:G87"/>
    <mergeCell ref="A1:G1"/>
    <mergeCell ref="A2:G2"/>
    <mergeCell ref="A3:G3"/>
    <mergeCell ref="A6:G6"/>
    <mergeCell ref="A51:G51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2" customWidth="1"/>
    <col min="2" max="2" width="14" customWidth="1"/>
    <col min="3" max="3" width="36" customWidth="1"/>
    <col min="4" max="4" width="8" customWidth="1"/>
    <col min="5" max="5" width="6" customWidth="1"/>
    <col min="6" max="6" width="22" customWidth="1"/>
    <col min="7" max="7" width="32" customWidth="1"/>
    <col min="8" max="8" width="18" customWidth="1"/>
  </cols>
  <sheetData>
    <row r="1" spans="1:8" ht="20" x14ac:dyDescent="0.2">
      <c r="A1" s="4" t="s">
        <v>185</v>
      </c>
      <c r="B1" s="4"/>
      <c r="C1" s="4"/>
      <c r="D1" s="4"/>
      <c r="E1" s="4"/>
      <c r="F1" s="4"/>
      <c r="G1" s="4"/>
      <c r="H1" s="4"/>
    </row>
    <row r="2" spans="1:8" x14ac:dyDescent="0.2">
      <c r="A2" s="2" t="s">
        <v>186</v>
      </c>
      <c r="B2" s="2"/>
      <c r="C2" s="2"/>
      <c r="D2" s="2"/>
      <c r="E2" s="2"/>
      <c r="F2" s="2"/>
      <c r="G2" s="2"/>
      <c r="H2" s="2"/>
    </row>
    <row r="4" spans="1:8" ht="30" x14ac:dyDescent="0.2">
      <c r="A4" s="5" t="s">
        <v>187</v>
      </c>
      <c r="B4" s="5" t="s">
        <v>188</v>
      </c>
      <c r="C4" s="5" t="s">
        <v>189</v>
      </c>
      <c r="D4" s="5" t="s">
        <v>190</v>
      </c>
      <c r="E4" s="5" t="s">
        <v>191</v>
      </c>
      <c r="F4" s="5" t="s">
        <v>192</v>
      </c>
      <c r="G4" s="5" t="s">
        <v>2</v>
      </c>
      <c r="H4" s="5" t="s">
        <v>193</v>
      </c>
    </row>
    <row r="5" spans="1:8" ht="28" x14ac:dyDescent="0.2">
      <c r="A5" s="7" t="s">
        <v>194</v>
      </c>
      <c r="B5" s="7" t="s">
        <v>195</v>
      </c>
      <c r="C5" s="7" t="s">
        <v>196</v>
      </c>
      <c r="D5" s="9">
        <v>16</v>
      </c>
      <c r="E5" s="7"/>
      <c r="F5" s="7"/>
      <c r="G5" s="7" t="s">
        <v>197</v>
      </c>
      <c r="H5" s="7"/>
    </row>
    <row r="6" spans="1:8" ht="42" x14ac:dyDescent="0.2">
      <c r="A6" s="7" t="s">
        <v>198</v>
      </c>
      <c r="B6" s="7" t="s">
        <v>199</v>
      </c>
      <c r="C6" s="7" t="s">
        <v>196</v>
      </c>
      <c r="D6" s="9">
        <v>25</v>
      </c>
      <c r="E6" s="7"/>
      <c r="F6" s="7"/>
      <c r="G6" s="7" t="s">
        <v>197</v>
      </c>
      <c r="H6" s="7"/>
    </row>
    <row r="7" spans="1:8" ht="28" x14ac:dyDescent="0.2">
      <c r="A7" s="7" t="s">
        <v>200</v>
      </c>
      <c r="B7" s="7" t="s">
        <v>201</v>
      </c>
      <c r="C7" s="7" t="s">
        <v>202</v>
      </c>
      <c r="D7" s="9">
        <v>7</v>
      </c>
      <c r="E7" s="7"/>
      <c r="F7" s="7"/>
      <c r="G7" s="7" t="s">
        <v>197</v>
      </c>
      <c r="H7" s="7"/>
    </row>
    <row r="8" spans="1:8" ht="42" x14ac:dyDescent="0.2">
      <c r="A8" s="7" t="s">
        <v>203</v>
      </c>
      <c r="B8" s="7" t="s">
        <v>204</v>
      </c>
      <c r="C8" s="7" t="s">
        <v>196</v>
      </c>
      <c r="D8" s="9">
        <v>18</v>
      </c>
      <c r="E8" s="7"/>
      <c r="F8" s="7"/>
      <c r="G8" s="7" t="s">
        <v>197</v>
      </c>
      <c r="H8" s="7"/>
    </row>
    <row r="9" spans="1:8" ht="28" x14ac:dyDescent="0.2">
      <c r="A9" s="7" t="s">
        <v>205</v>
      </c>
      <c r="B9" s="7" t="s">
        <v>206</v>
      </c>
      <c r="C9" s="7" t="s">
        <v>202</v>
      </c>
      <c r="D9" s="9">
        <v>14</v>
      </c>
      <c r="E9" s="7"/>
      <c r="F9" s="7"/>
      <c r="G9" s="7" t="s">
        <v>197</v>
      </c>
      <c r="H9" s="7"/>
    </row>
    <row r="10" spans="1:8" ht="28" x14ac:dyDescent="0.2">
      <c r="A10" s="7" t="s">
        <v>207</v>
      </c>
      <c r="B10" s="7" t="s">
        <v>208</v>
      </c>
      <c r="C10" s="7" t="s">
        <v>196</v>
      </c>
      <c r="D10" s="9">
        <v>2</v>
      </c>
      <c r="E10" s="7"/>
      <c r="F10" s="7"/>
      <c r="G10" s="7" t="s">
        <v>197</v>
      </c>
      <c r="H10" s="7"/>
    </row>
    <row r="11" spans="1:8" ht="28" x14ac:dyDescent="0.2">
      <c r="A11" s="7" t="s">
        <v>209</v>
      </c>
      <c r="B11" s="7" t="s">
        <v>210</v>
      </c>
      <c r="C11" s="7" t="s">
        <v>196</v>
      </c>
      <c r="D11" s="9">
        <v>1</v>
      </c>
      <c r="E11" s="7"/>
      <c r="F11" s="7"/>
      <c r="G11" s="7" t="s">
        <v>197</v>
      </c>
      <c r="H11" s="7"/>
    </row>
    <row r="12" spans="1:8" ht="28" x14ac:dyDescent="0.2">
      <c r="A12" s="7" t="s">
        <v>211</v>
      </c>
      <c r="B12" s="7" t="s">
        <v>212</v>
      </c>
      <c r="C12" s="7" t="s">
        <v>213</v>
      </c>
      <c r="D12" s="9">
        <v>4</v>
      </c>
      <c r="E12" s="7"/>
      <c r="F12" s="7"/>
      <c r="G12" s="7" t="s">
        <v>214</v>
      </c>
      <c r="H12" s="7"/>
    </row>
    <row r="13" spans="1:8" x14ac:dyDescent="0.2">
      <c r="A13" s="7" t="s">
        <v>215</v>
      </c>
      <c r="B13" s="7" t="s">
        <v>216</v>
      </c>
      <c r="C13" s="7" t="s">
        <v>217</v>
      </c>
      <c r="D13" s="9">
        <v>2</v>
      </c>
      <c r="E13" s="7"/>
      <c r="F13" s="7"/>
      <c r="G13" s="7" t="s">
        <v>218</v>
      </c>
      <c r="H13" s="7"/>
    </row>
    <row r="14" spans="1:8" x14ac:dyDescent="0.2">
      <c r="A14" s="7" t="s">
        <v>219</v>
      </c>
      <c r="B14" s="7" t="s">
        <v>220</v>
      </c>
      <c r="C14" s="7" t="s">
        <v>221</v>
      </c>
      <c r="D14" s="9">
        <v>8</v>
      </c>
      <c r="E14" s="7"/>
      <c r="F14" s="7"/>
      <c r="G14" s="7" t="s">
        <v>222</v>
      </c>
      <c r="H14" s="7"/>
    </row>
    <row r="15" spans="1:8" ht="28" x14ac:dyDescent="0.2">
      <c r="A15" s="7" t="s">
        <v>223</v>
      </c>
      <c r="B15" s="7" t="s">
        <v>224</v>
      </c>
      <c r="C15" s="7" t="s">
        <v>225</v>
      </c>
      <c r="D15" s="9">
        <v>3</v>
      </c>
      <c r="E15" s="7"/>
      <c r="F15" s="7"/>
      <c r="G15" s="7" t="s">
        <v>226</v>
      </c>
      <c r="H15" s="7"/>
    </row>
    <row r="16" spans="1:8" ht="70" x14ac:dyDescent="0.2">
      <c r="A16" s="7" t="s">
        <v>227</v>
      </c>
      <c r="B16" s="7" t="s">
        <v>228</v>
      </c>
      <c r="C16" s="7" t="s">
        <v>229</v>
      </c>
      <c r="D16" s="9">
        <v>1</v>
      </c>
      <c r="E16" s="7"/>
      <c r="F16" s="7"/>
      <c r="G16" s="7" t="s">
        <v>230</v>
      </c>
      <c r="H16" s="7"/>
    </row>
    <row r="17" spans="1:8" ht="28" x14ac:dyDescent="0.2">
      <c r="A17" s="7" t="s">
        <v>231</v>
      </c>
      <c r="B17" s="7" t="s">
        <v>232</v>
      </c>
      <c r="C17" s="7" t="s">
        <v>233</v>
      </c>
      <c r="D17" s="9">
        <v>2</v>
      </c>
      <c r="E17" s="7"/>
      <c r="F17" s="7"/>
      <c r="G17" s="7" t="s">
        <v>234</v>
      </c>
      <c r="H17" s="7"/>
    </row>
    <row r="18" spans="1:8" ht="28" x14ac:dyDescent="0.2">
      <c r="A18" s="7" t="s">
        <v>235</v>
      </c>
      <c r="B18" s="7" t="s">
        <v>236</v>
      </c>
      <c r="C18" s="7" t="s">
        <v>237</v>
      </c>
      <c r="D18" s="9">
        <v>1</v>
      </c>
      <c r="E18" s="7"/>
      <c r="F18" s="7"/>
      <c r="G18" s="7" t="s">
        <v>238</v>
      </c>
      <c r="H18" s="7"/>
    </row>
    <row r="19" spans="1:8" x14ac:dyDescent="0.2">
      <c r="A19" s="7" t="s">
        <v>239</v>
      </c>
      <c r="B19" s="7" t="s">
        <v>240</v>
      </c>
      <c r="C19" s="7" t="s">
        <v>241</v>
      </c>
      <c r="D19" s="9">
        <v>1</v>
      </c>
      <c r="E19" s="7"/>
      <c r="F19" s="7"/>
      <c r="G19" s="7"/>
      <c r="H19" s="7" t="s">
        <v>242</v>
      </c>
    </row>
    <row r="20" spans="1:8" ht="42" x14ac:dyDescent="0.2">
      <c r="A20" s="7" t="s">
        <v>243</v>
      </c>
      <c r="B20" s="7" t="s">
        <v>244</v>
      </c>
      <c r="C20" s="7" t="s">
        <v>245</v>
      </c>
      <c r="D20" s="9">
        <v>3</v>
      </c>
      <c r="E20" s="7"/>
      <c r="F20" s="7"/>
      <c r="G20" s="7" t="s">
        <v>246</v>
      </c>
      <c r="H20" s="7"/>
    </row>
    <row r="21" spans="1:8" x14ac:dyDescent="0.2">
      <c r="A21" s="7" t="s">
        <v>247</v>
      </c>
      <c r="B21" s="7" t="s">
        <v>248</v>
      </c>
      <c r="C21" s="7" t="s">
        <v>249</v>
      </c>
      <c r="D21" s="9">
        <v>1</v>
      </c>
      <c r="E21" s="7"/>
      <c r="F21" s="7"/>
      <c r="G21" s="7"/>
      <c r="H21" s="7" t="s">
        <v>250</v>
      </c>
    </row>
    <row r="22" spans="1:8" ht="28" x14ac:dyDescent="0.2">
      <c r="A22" s="7" t="s">
        <v>251</v>
      </c>
      <c r="B22" s="7" t="s">
        <v>252</v>
      </c>
      <c r="C22" s="7" t="s">
        <v>253</v>
      </c>
      <c r="D22" s="9">
        <v>1</v>
      </c>
      <c r="E22" s="7"/>
      <c r="F22" s="7"/>
      <c r="G22" s="7" t="s">
        <v>254</v>
      </c>
      <c r="H22" s="7"/>
    </row>
    <row r="23" spans="1:8" ht="42" x14ac:dyDescent="0.2">
      <c r="A23" s="7" t="s">
        <v>255</v>
      </c>
      <c r="B23" s="7" t="s">
        <v>256</v>
      </c>
      <c r="C23" s="7" t="s">
        <v>257</v>
      </c>
      <c r="D23" s="9">
        <v>4</v>
      </c>
      <c r="E23" s="7"/>
      <c r="F23" s="7"/>
      <c r="G23" s="7" t="s">
        <v>258</v>
      </c>
      <c r="H23" s="7"/>
    </row>
    <row r="24" spans="1:8" ht="42" x14ac:dyDescent="0.2">
      <c r="A24" s="7" t="s">
        <v>259</v>
      </c>
      <c r="B24" s="7" t="s">
        <v>260</v>
      </c>
      <c r="C24" s="7" t="s">
        <v>261</v>
      </c>
      <c r="D24" s="9">
        <v>1</v>
      </c>
      <c r="E24" s="7"/>
      <c r="F24" s="7"/>
      <c r="G24" s="7" t="s">
        <v>262</v>
      </c>
      <c r="H24" s="7"/>
    </row>
    <row r="25" spans="1:8" ht="42" x14ac:dyDescent="0.2">
      <c r="A25" s="7" t="s">
        <v>263</v>
      </c>
      <c r="B25" s="7" t="s">
        <v>264</v>
      </c>
      <c r="C25" s="7" t="s">
        <v>261</v>
      </c>
      <c r="D25" s="9">
        <v>1</v>
      </c>
      <c r="E25" s="7"/>
      <c r="F25" s="7"/>
      <c r="G25" s="7" t="s">
        <v>262</v>
      </c>
      <c r="H25" s="7"/>
    </row>
    <row r="26" spans="1:8" ht="182" x14ac:dyDescent="0.2">
      <c r="A26" s="7" t="s">
        <v>265</v>
      </c>
      <c r="B26" s="7" t="s">
        <v>266</v>
      </c>
      <c r="C26" s="7" t="s">
        <v>267</v>
      </c>
      <c r="D26" s="9">
        <v>2</v>
      </c>
      <c r="E26" s="7"/>
      <c r="F26" s="7"/>
      <c r="G26" s="7" t="s">
        <v>268</v>
      </c>
      <c r="H26" s="7"/>
    </row>
    <row r="27" spans="1:8" x14ac:dyDescent="0.2">
      <c r="A27" s="7" t="s">
        <v>269</v>
      </c>
      <c r="B27" s="7" t="s">
        <v>270</v>
      </c>
      <c r="C27" s="7" t="s">
        <v>271</v>
      </c>
      <c r="D27" s="9">
        <v>2</v>
      </c>
      <c r="E27" s="7"/>
      <c r="F27" s="7"/>
      <c r="G27" s="7"/>
      <c r="H27" s="7" t="s">
        <v>272</v>
      </c>
    </row>
    <row r="28" spans="1:8" x14ac:dyDescent="0.2">
      <c r="A28" s="7" t="s">
        <v>273</v>
      </c>
      <c r="B28" s="7" t="s">
        <v>274</v>
      </c>
      <c r="C28" s="7" t="s">
        <v>275</v>
      </c>
      <c r="D28" s="9">
        <v>4</v>
      </c>
      <c r="E28" s="7"/>
      <c r="F28" s="7"/>
      <c r="G28" s="7" t="s">
        <v>276</v>
      </c>
      <c r="H28" s="7"/>
    </row>
    <row r="29" spans="1:8" ht="28" x14ac:dyDescent="0.2">
      <c r="A29" s="7" t="s">
        <v>277</v>
      </c>
      <c r="B29" s="7" t="s">
        <v>278</v>
      </c>
      <c r="C29" s="7" t="s">
        <v>279</v>
      </c>
      <c r="D29" s="9">
        <v>3</v>
      </c>
      <c r="E29" s="7"/>
      <c r="F29" s="7"/>
      <c r="G29" s="7"/>
      <c r="H29" s="7" t="s">
        <v>280</v>
      </c>
    </row>
    <row r="30" spans="1:8" ht="28" x14ac:dyDescent="0.2">
      <c r="A30" s="7" t="s">
        <v>281</v>
      </c>
      <c r="B30" s="7" t="s">
        <v>282</v>
      </c>
      <c r="C30" s="7" t="s">
        <v>283</v>
      </c>
      <c r="D30" s="9">
        <v>1</v>
      </c>
      <c r="E30" s="7"/>
      <c r="F30" s="7"/>
      <c r="G30" s="7" t="s">
        <v>284</v>
      </c>
      <c r="H30" s="7"/>
    </row>
    <row r="31" spans="1:8" ht="42" x14ac:dyDescent="0.2">
      <c r="A31" s="7" t="s">
        <v>285</v>
      </c>
      <c r="B31" s="7" t="s">
        <v>286</v>
      </c>
      <c r="C31" s="7" t="s">
        <v>225</v>
      </c>
      <c r="D31" s="9">
        <v>22</v>
      </c>
      <c r="E31" s="7"/>
      <c r="F31" s="7"/>
      <c r="G31" s="7" t="s">
        <v>287</v>
      </c>
      <c r="H31" s="7"/>
    </row>
    <row r="32" spans="1:8" ht="28" x14ac:dyDescent="0.2">
      <c r="A32" s="7" t="s">
        <v>288</v>
      </c>
      <c r="B32" s="7" t="s">
        <v>289</v>
      </c>
      <c r="C32" s="7" t="s">
        <v>225</v>
      </c>
      <c r="D32" s="9">
        <v>8</v>
      </c>
      <c r="E32" s="7"/>
      <c r="F32" s="7"/>
      <c r="G32" s="7" t="s">
        <v>287</v>
      </c>
      <c r="H32" s="7"/>
    </row>
    <row r="33" spans="1:8" ht="28" x14ac:dyDescent="0.2">
      <c r="A33" s="7" t="s">
        <v>290</v>
      </c>
      <c r="B33" s="7" t="s">
        <v>291</v>
      </c>
      <c r="C33" s="7" t="s">
        <v>225</v>
      </c>
      <c r="D33" s="9">
        <v>2</v>
      </c>
      <c r="E33" s="7"/>
      <c r="F33" s="7"/>
      <c r="G33" s="7" t="s">
        <v>287</v>
      </c>
      <c r="H33" s="7"/>
    </row>
    <row r="34" spans="1:8" ht="28" x14ac:dyDescent="0.2">
      <c r="A34" s="7" t="s">
        <v>292</v>
      </c>
      <c r="B34" s="7" t="s">
        <v>293</v>
      </c>
      <c r="C34" s="7" t="s">
        <v>225</v>
      </c>
      <c r="D34" s="9">
        <v>1</v>
      </c>
      <c r="E34" s="7"/>
      <c r="F34" s="7"/>
      <c r="G34" s="7" t="s">
        <v>287</v>
      </c>
      <c r="H34" s="7"/>
    </row>
    <row r="35" spans="1:8" ht="28" x14ac:dyDescent="0.2">
      <c r="A35" s="7" t="s">
        <v>294</v>
      </c>
      <c r="B35" s="7" t="s">
        <v>295</v>
      </c>
      <c r="C35" s="7" t="s">
        <v>225</v>
      </c>
      <c r="D35" s="9">
        <v>1</v>
      </c>
      <c r="E35" s="7"/>
      <c r="F35" s="7"/>
      <c r="G35" s="7" t="s">
        <v>287</v>
      </c>
      <c r="H35" s="7"/>
    </row>
    <row r="36" spans="1:8" ht="28" x14ac:dyDescent="0.2">
      <c r="A36" s="7" t="s">
        <v>296</v>
      </c>
      <c r="B36" s="7" t="s">
        <v>297</v>
      </c>
      <c r="C36" s="7" t="s">
        <v>225</v>
      </c>
      <c r="D36" s="9">
        <v>15</v>
      </c>
      <c r="E36" s="7"/>
      <c r="F36" s="7"/>
      <c r="G36" s="7" t="s">
        <v>287</v>
      </c>
      <c r="H36" s="7"/>
    </row>
    <row r="37" spans="1:8" ht="28" x14ac:dyDescent="0.2">
      <c r="A37" s="7" t="s">
        <v>298</v>
      </c>
      <c r="B37" s="7" t="s">
        <v>299</v>
      </c>
      <c r="C37" s="7" t="s">
        <v>225</v>
      </c>
      <c r="D37" s="9">
        <v>2</v>
      </c>
      <c r="E37" s="7"/>
      <c r="F37" s="7"/>
      <c r="G37" s="7" t="s">
        <v>287</v>
      </c>
      <c r="H37" s="7"/>
    </row>
    <row r="38" spans="1:8" ht="28" x14ac:dyDescent="0.2">
      <c r="A38" s="7" t="s">
        <v>300</v>
      </c>
      <c r="B38" s="7" t="s">
        <v>301</v>
      </c>
      <c r="C38" s="7" t="s">
        <v>225</v>
      </c>
      <c r="D38" s="9">
        <v>2</v>
      </c>
      <c r="E38" s="7"/>
      <c r="F38" s="7"/>
      <c r="G38" s="7" t="s">
        <v>287</v>
      </c>
      <c r="H38" s="7"/>
    </row>
    <row r="39" spans="1:8" ht="28" x14ac:dyDescent="0.2">
      <c r="A39" s="7" t="s">
        <v>302</v>
      </c>
      <c r="B39" s="7" t="s">
        <v>303</v>
      </c>
      <c r="C39" s="7" t="s">
        <v>225</v>
      </c>
      <c r="D39" s="9">
        <v>6</v>
      </c>
      <c r="E39" s="7"/>
      <c r="F39" s="7"/>
      <c r="G39" s="7" t="s">
        <v>287</v>
      </c>
      <c r="H39" s="7"/>
    </row>
    <row r="40" spans="1:8" ht="28" x14ac:dyDescent="0.2">
      <c r="A40" s="7" t="s">
        <v>304</v>
      </c>
      <c r="B40" s="7" t="s">
        <v>305</v>
      </c>
      <c r="C40" s="7" t="s">
        <v>225</v>
      </c>
      <c r="D40" s="9">
        <v>7</v>
      </c>
      <c r="E40" s="7"/>
      <c r="F40" s="7"/>
      <c r="G40" s="7" t="s">
        <v>287</v>
      </c>
      <c r="H40" s="7"/>
    </row>
    <row r="41" spans="1:8" ht="28" x14ac:dyDescent="0.2">
      <c r="A41" s="7" t="s">
        <v>306</v>
      </c>
      <c r="B41" s="7" t="s">
        <v>307</v>
      </c>
      <c r="C41" s="7" t="s">
        <v>225</v>
      </c>
      <c r="D41" s="9">
        <v>4</v>
      </c>
      <c r="E41" s="7"/>
      <c r="F41" s="7"/>
      <c r="G41" s="7" t="s">
        <v>287</v>
      </c>
      <c r="H41" s="7"/>
    </row>
    <row r="42" spans="1:8" x14ac:dyDescent="0.2">
      <c r="A42" s="7" t="s">
        <v>308</v>
      </c>
      <c r="B42" s="7" t="s">
        <v>309</v>
      </c>
      <c r="C42" s="7" t="s">
        <v>310</v>
      </c>
      <c r="D42" s="9">
        <v>1</v>
      </c>
      <c r="E42" s="7"/>
      <c r="F42" s="7"/>
      <c r="G42" s="7" t="s">
        <v>311</v>
      </c>
      <c r="H42" s="7"/>
    </row>
    <row r="43" spans="1:8" ht="28" x14ac:dyDescent="0.2">
      <c r="A43" s="7" t="s">
        <v>312</v>
      </c>
      <c r="B43" s="7" t="s">
        <v>313</v>
      </c>
      <c r="C43" s="7" t="s">
        <v>314</v>
      </c>
      <c r="D43" s="9">
        <v>1</v>
      </c>
      <c r="E43" s="7"/>
      <c r="F43" s="7"/>
      <c r="G43" s="7" t="s">
        <v>315</v>
      </c>
      <c r="H43" s="7"/>
    </row>
    <row r="44" spans="1:8" ht="28" x14ac:dyDescent="0.2">
      <c r="A44" s="7" t="s">
        <v>316</v>
      </c>
      <c r="B44" s="7" t="s">
        <v>317</v>
      </c>
      <c r="C44" s="7" t="s">
        <v>318</v>
      </c>
      <c r="D44" s="9">
        <v>3</v>
      </c>
      <c r="E44" s="7"/>
      <c r="F44" s="7"/>
      <c r="G44" s="7" t="s">
        <v>319</v>
      </c>
      <c r="H44" s="7"/>
    </row>
    <row r="45" spans="1:8" ht="42" x14ac:dyDescent="0.2">
      <c r="A45" s="7" t="s">
        <v>320</v>
      </c>
      <c r="B45" s="7" t="s">
        <v>321</v>
      </c>
      <c r="C45" s="7" t="s">
        <v>322</v>
      </c>
      <c r="D45" s="9">
        <v>1</v>
      </c>
      <c r="E45" s="7"/>
      <c r="F45" s="7"/>
      <c r="G45" s="7" t="s">
        <v>323</v>
      </c>
      <c r="H45" s="7"/>
    </row>
    <row r="46" spans="1:8" ht="28" x14ac:dyDescent="0.2">
      <c r="A46" s="7" t="s">
        <v>324</v>
      </c>
      <c r="B46" s="7" t="s">
        <v>325</v>
      </c>
      <c r="C46" s="7" t="s">
        <v>326</v>
      </c>
      <c r="D46" s="9">
        <v>1</v>
      </c>
      <c r="E46" s="7"/>
      <c r="F46" s="7"/>
      <c r="G46" s="7" t="s">
        <v>327</v>
      </c>
      <c r="H46" s="7"/>
    </row>
    <row r="47" spans="1:8" x14ac:dyDescent="0.2">
      <c r="A47" s="7" t="s">
        <v>328</v>
      </c>
      <c r="B47" s="7" t="s">
        <v>329</v>
      </c>
      <c r="C47" s="7" t="s">
        <v>330</v>
      </c>
      <c r="D47" s="9">
        <v>1</v>
      </c>
      <c r="E47" s="7"/>
      <c r="F47" s="7"/>
      <c r="G47" s="7" t="s">
        <v>331</v>
      </c>
      <c r="H47" s="7"/>
    </row>
    <row r="48" spans="1:8" ht="42" x14ac:dyDescent="0.2">
      <c r="A48" s="7" t="s">
        <v>332</v>
      </c>
      <c r="B48" s="7" t="s">
        <v>333</v>
      </c>
      <c r="C48" s="7" t="s">
        <v>334</v>
      </c>
      <c r="D48" s="9">
        <v>1</v>
      </c>
      <c r="E48" s="7"/>
      <c r="F48" s="7"/>
      <c r="G48" s="7" t="s">
        <v>335</v>
      </c>
      <c r="H48" s="7"/>
    </row>
    <row r="49" spans="1:8" ht="210" x14ac:dyDescent="0.2">
      <c r="A49" s="7" t="s">
        <v>336</v>
      </c>
      <c r="B49" s="7" t="s">
        <v>337</v>
      </c>
      <c r="C49" s="7" t="s">
        <v>338</v>
      </c>
      <c r="D49" s="9">
        <v>1</v>
      </c>
      <c r="E49" s="7"/>
      <c r="F49" s="7"/>
      <c r="G49" s="7" t="s">
        <v>339</v>
      </c>
      <c r="H49" s="7"/>
    </row>
    <row r="50" spans="1:8" x14ac:dyDescent="0.2">
      <c r="A50" s="7" t="s">
        <v>340</v>
      </c>
      <c r="B50" s="7" t="s">
        <v>341</v>
      </c>
      <c r="C50" s="7" t="s">
        <v>342</v>
      </c>
      <c r="D50" s="9">
        <v>1</v>
      </c>
      <c r="E50" s="7"/>
      <c r="F50" s="7"/>
      <c r="G50" s="7" t="s">
        <v>343</v>
      </c>
      <c r="H50" s="7"/>
    </row>
  </sheetData>
  <mergeCells count="2">
    <mergeCell ref="A1:H1"/>
    <mergeCell ref="A2:H2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KiCad PCB BOM (reference)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Magana, Cesar</cp:lastModifiedBy>
  <cp:revision>0</cp:revision>
  <dcterms:created xsi:type="dcterms:W3CDTF">2026-04-25T17:37:11Z</dcterms:created>
  <dcterms:modified xsi:type="dcterms:W3CDTF">2026-04-25T17:39:08Z</dcterms:modified>
  <dc:language>en-US</dc:language>
</cp:coreProperties>
</file>